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VGO" sheetId="1" state="visible" r:id="rId1"/>
    <sheet name="DRAM" sheetId="2" state="visible" r:id="rId2"/>
    <sheet name="EUV" sheetId="3" state="visible" r:id="rId3"/>
    <sheet name="TSEM" sheetId="4" state="visible" r:id="rId4"/>
    <sheet name="TSLA" sheetId="5" state="visible" r:id="rId5"/>
    <sheet name="VR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color rgb="004472C4"/>
    </font>
    <font>
      <color rgb="00333333"/>
      <sz val="10"/>
    </font>
    <font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E8F4FC"/>
        <bgColor rgb="00E8F4FC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164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border>
        <left style="thin"/>
        <right style="thin"/>
        <top style="thin"/>
        <bottom style="thin"/>
      </border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hidden="1" width="13" customWidth="1" min="8" max="8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🟢 买入成本 = (原成本×原股数 + 买入金额 + 手续费) ÷ (原股数 + 买入股数)  |  🔴 卖出时成本不变，清仓后重新买入按新买入价计算</t>
        </is>
      </c>
    </row>
    <row r="4" ht="12" customHeight="1">
      <c r="A4" s="2" t="inlineStr">
        <is>
          <t>--------------------------------------------------------------------------------</t>
        </is>
      </c>
    </row>
    <row r="5" ht="22" customHeight="1">
      <c r="A5" s="4">
        <f>IF(COUNTA(B7:B101)=0,"","⚖️ 盈亏平衡点: $"&amp;TEXT(F7-IFERROR(H7/G7,0),"#,##0.00")&amp;"  (差价: $"&amp;TEXT(-IFERROR(H7/G7,0),"#,##0.00")&amp;")")</f>
        <v/>
      </c>
    </row>
    <row r="6" ht="22" customHeight="1">
      <c r="A6" s="5" t="inlineStr">
        <is>
          <t>日期</t>
        </is>
      </c>
      <c r="B6" s="5" t="inlineStr">
        <is>
          <t>操作</t>
        </is>
      </c>
      <c r="C6" s="5" t="inlineStr">
        <is>
          <t>数量</t>
        </is>
      </c>
      <c r="D6" s="5" t="inlineStr">
        <is>
          <t>价格</t>
        </is>
      </c>
      <c r="E6" s="5" t="inlineStr">
        <is>
          <t>手续费</t>
        </is>
      </c>
      <c r="F6" s="5" t="inlineStr">
        <is>
          <t>持仓成本</t>
        </is>
      </c>
      <c r="G6" s="5" t="inlineStr">
        <is>
          <t>累计持仓</t>
        </is>
      </c>
    </row>
    <row r="7">
      <c r="A7" s="6" t="inlineStr">
        <is>
          <t>2026-06-11</t>
        </is>
      </c>
      <c r="B7" s="7" t="inlineStr">
        <is>
          <t>卖出</t>
        </is>
      </c>
      <c r="C7" s="7" t="n">
        <v>9</v>
      </c>
      <c r="D7" s="7" t="n">
        <v>379</v>
      </c>
      <c r="E7" s="7" t="n">
        <v>0.07000000000000001</v>
      </c>
      <c r="F7" s="8">
        <f>IF(B7="买入",IF(G8&lt;=0,(C7*D7+E7)/C7,(F8*G8+C7*D7+E7)/(G8+C7)),IF(B7="卖出",IF(G8-C7&lt;=0,F8,(F8*G8-C7*D7+E7)/(G8-C7)),""))</f>
        <v/>
      </c>
      <c r="G7" s="8">
        <f>IF(B7="买入",G8+C7,IF(B7="卖出",MAX(0,G8-C7),""))</f>
        <v/>
      </c>
      <c r="H7">
        <f>IF(B7="",H8,IF(B7="买入",H8,IF(B7="卖出",IF(G7=0,0,H8+(D7-F7)*C7-E7),H8)))</f>
        <v/>
      </c>
    </row>
    <row r="8">
      <c r="A8" s="6" t="inlineStr">
        <is>
          <t>2026-06-10</t>
        </is>
      </c>
      <c r="B8" s="7" t="inlineStr">
        <is>
          <t>买入</t>
        </is>
      </c>
      <c r="C8" s="7" t="n">
        <v>9</v>
      </c>
      <c r="D8" s="7" t="n">
        <v>372</v>
      </c>
      <c r="E8" s="7" t="n">
        <v>0</v>
      </c>
      <c r="F8" s="8">
        <f>IF(B8="买入",IF(G9&lt;=0,(C8*D8+E8)/C8,(F9*G9+C8*D8+E8)/(G9+C8)),IF(B8="卖出",IF(G9-C8&lt;=0,F9,(F9*G9-C8*D8+E8)/(G9-C8)),""))</f>
        <v/>
      </c>
      <c r="G8" s="8">
        <f>IF(B8="买入",G9+C8,IF(B8="卖出",MAX(0,G9-C8),""))</f>
        <v/>
      </c>
      <c r="H8">
        <f>IF(B8="",H9,IF(B8="买入",H9,IF(B8="卖出",IF(G8=0,0,H9+(D8-F8)*C8-E8),H9)))</f>
        <v/>
      </c>
    </row>
    <row r="9">
      <c r="A9" s="6" t="inlineStr">
        <is>
          <t>2026-06-10</t>
        </is>
      </c>
      <c r="B9" s="7" t="inlineStr">
        <is>
          <t>卖出</t>
        </is>
      </c>
      <c r="C9" s="7" t="n">
        <v>9</v>
      </c>
      <c r="D9" s="7" t="n">
        <v>376</v>
      </c>
      <c r="E9" s="7" t="n">
        <v>0.07000000000000001</v>
      </c>
      <c r="F9" s="8">
        <f>IF(B9="买入",IF(G10&lt;=0,(C9*D9+E9)/C9,(F10*G10+C9*D9+E9)/(G10+C9)),IF(B9="卖出",IF(G10-C9&lt;=0,F10,(F10*G10-C9*D9+E9)/(G10-C9)),""))</f>
        <v/>
      </c>
      <c r="G9" s="8">
        <f>IF(B9="买入",G10+C9,IF(B9="卖出",MAX(0,G10-C9),""))</f>
        <v/>
      </c>
      <c r="H9">
        <f>IF(B9="",H10,IF(B9="买入",H10,IF(B9="卖出",IF(G9=0,0,H10+(D9-F9)*C9-E9),H10)))</f>
        <v/>
      </c>
    </row>
    <row r="10">
      <c r="A10" s="6" t="inlineStr">
        <is>
          <t>2026-06-10</t>
        </is>
      </c>
      <c r="B10" s="7" t="inlineStr">
        <is>
          <t>买入</t>
        </is>
      </c>
      <c r="C10" s="7" t="n">
        <v>9</v>
      </c>
      <c r="D10" s="7" t="n">
        <v>372</v>
      </c>
      <c r="E10" s="7" t="n">
        <v>0</v>
      </c>
      <c r="F10" s="8">
        <f>IF(B10="买入",IF(G11&lt;=0,(C10*D10+E10)/C10,(F11*G11+C10*D10+E10)/(G11+C10)),IF(B10="卖出",IF(G11-C10&lt;=0,F11,(F11*G11-C10*D10+E10)/(G11-C10)),""))</f>
        <v/>
      </c>
      <c r="G10" s="8">
        <f>IF(B10="买入",G11+C10,IF(B10="卖出",MAX(0,G11-C10),""))</f>
        <v/>
      </c>
      <c r="H10">
        <f>IF(B10="",H11,IF(B10="买入",H11,IF(B10="卖出",IF(G10=0,0,H11+(D10-F10)*C10-E10),H11)))</f>
        <v/>
      </c>
    </row>
    <row r="11">
      <c r="A11" s="6" t="inlineStr">
        <is>
          <t>2026-06-10</t>
        </is>
      </c>
      <c r="B11" s="7" t="inlineStr">
        <is>
          <t>卖出</t>
        </is>
      </c>
      <c r="C11" s="7" t="n">
        <v>4</v>
      </c>
      <c r="D11" s="7" t="n">
        <v>377</v>
      </c>
      <c r="E11" s="7" t="n">
        <v>0.03</v>
      </c>
      <c r="F11" s="8">
        <f>IF(B11="买入",IF(G12&lt;=0,(C11*D11+E11)/C11,(F12*G12+C11*D11+E11)/(G12+C11)),IF(B11="卖出",IF(G12-C11&lt;=0,F12,(F12*G12-C11*D11+E11)/(G12-C11)),""))</f>
        <v/>
      </c>
      <c r="G11" s="8">
        <f>IF(B11="买入",G12+C11,IF(B11="卖出",MAX(0,G12-C11),""))</f>
        <v/>
      </c>
      <c r="H11">
        <f>IF(B11="",H12,IF(B11="买入",H12,IF(B11="卖出",IF(G11=0,0,H12+(D11-F11)*C11-E11),H12)))</f>
        <v/>
      </c>
    </row>
    <row r="12">
      <c r="A12" s="6" t="inlineStr">
        <is>
          <t>2026-06-10</t>
        </is>
      </c>
      <c r="B12" s="7" t="inlineStr">
        <is>
          <t>买入</t>
        </is>
      </c>
      <c r="C12" s="7" t="n">
        <v>4</v>
      </c>
      <c r="D12" s="7" t="n">
        <v>376</v>
      </c>
      <c r="E12" s="7" t="n">
        <v>0</v>
      </c>
      <c r="F12" s="8">
        <f>IF(B12="买入",IF(G13&lt;=0,(C12*D12+E12)/C12,(F13*G13+C12*D12+E12)/(G13+C12)),IF(B12="卖出",IF(G13-C12&lt;=0,F13,(F13*G13-C12*D12+E12)/(G13-C12)),""))</f>
        <v/>
      </c>
      <c r="G12" s="8">
        <f>IF(B12="买入",G13+C12,IF(B12="卖出",MAX(0,G13-C12),""))</f>
        <v/>
      </c>
      <c r="H12">
        <f>IF(B12="",H13,IF(B12="买入",H13,IF(B12="卖出",IF(G12=0,0,H13+(D12-F12)*C12-E12),H13)))</f>
        <v/>
      </c>
    </row>
    <row r="13">
      <c r="A13" s="6" t="inlineStr">
        <is>
          <t>2026-06-10</t>
        </is>
      </c>
      <c r="B13" s="7" t="inlineStr">
        <is>
          <t>卖出</t>
        </is>
      </c>
      <c r="C13" s="7" t="n">
        <v>4</v>
      </c>
      <c r="D13" s="7" t="n">
        <v>389.09</v>
      </c>
      <c r="E13" s="7" t="n">
        <v>0.03</v>
      </c>
      <c r="F13" s="8">
        <f>IF(B13="买入",IF(G14&lt;=0,(C13*D13+E13)/C13,(F14*G14+C13*D13+E13)/(G14+C13)),IF(B13="卖出",IF(G14-C13&lt;=0,F14,(F14*G14-C13*D13+E13)/(G14-C13)),""))</f>
        <v/>
      </c>
      <c r="G13" s="8">
        <f>IF(B13="买入",G14+C13,IF(B13="卖出",MAX(0,G14-C13),""))</f>
        <v/>
      </c>
      <c r="H13">
        <f>IF(B13="",H14,IF(B13="买入",H14,IF(B13="卖出",IF(G13=0,0,H14+(D13-F13)*C13-E13),H14)))</f>
        <v/>
      </c>
    </row>
    <row r="14">
      <c r="A14" s="6" t="inlineStr">
        <is>
          <t>2026-06-09</t>
        </is>
      </c>
      <c r="B14" s="7" t="inlineStr">
        <is>
          <t>买入</t>
        </is>
      </c>
      <c r="C14" s="7" t="n">
        <v>4</v>
      </c>
      <c r="D14" s="7" t="n">
        <v>386</v>
      </c>
      <c r="E14" s="7" t="n">
        <v>0</v>
      </c>
      <c r="F14" s="8">
        <f>IF(B14="买入",IF(G15&lt;=0,(C14*D14+E14)/C14,(F15*G15+C14*D14+E14)/(G15+C14)),IF(B14="卖出",IF(G15-C14&lt;=0,F15,(F15*G15-C14*D14+E14)/(G15-C14)),""))</f>
        <v/>
      </c>
      <c r="G14" s="8">
        <f>IF(B14="买入",G15+C14,IF(B14="卖出",MAX(0,G15-C14),""))</f>
        <v/>
      </c>
      <c r="H14">
        <f>IF(B14="",H15,IF(B14="买入",H15,IF(B14="卖出",IF(G14=0,0,H15+(D14-F14)*C14-E14),H15)))</f>
        <v/>
      </c>
    </row>
    <row r="15">
      <c r="A15" s="6" t="inlineStr">
        <is>
          <t>2026-06-08</t>
        </is>
      </c>
      <c r="B15" s="7" t="inlineStr">
        <is>
          <t>卖出</t>
        </is>
      </c>
      <c r="C15" s="7" t="n">
        <v>4</v>
      </c>
      <c r="D15" s="7" t="n">
        <v>399</v>
      </c>
      <c r="E15" s="7" t="n">
        <v>0.03</v>
      </c>
      <c r="F15" s="8">
        <f>IF(B15="买入",IF(G16&lt;=0,(C15*D15+E15)/C15,(F16*G16+C15*D15+E15)/(G16+C15)),IF(B15="卖出",IF(G16-C15&lt;=0,F16,(F16*G16-C15*D15+E15)/(G16-C15)),""))</f>
        <v/>
      </c>
      <c r="G15" s="8">
        <f>IF(B15="买入",G16+C15,IF(B15="卖出",MAX(0,G16-C15),""))</f>
        <v/>
      </c>
      <c r="H15">
        <f>IF(B15="",H16,IF(B15="买入",H16,IF(B15="卖出",IF(G15=0,0,H16+(D15-F15)*C15-E15),H16)))</f>
        <v/>
      </c>
    </row>
    <row r="16">
      <c r="A16" s="6" t="inlineStr">
        <is>
          <t>2026-06-05</t>
        </is>
      </c>
      <c r="B16" s="7" t="inlineStr">
        <is>
          <t>买入</t>
        </is>
      </c>
      <c r="C16" s="7" t="n">
        <v>4</v>
      </c>
      <c r="D16" s="7" t="n">
        <v>392</v>
      </c>
      <c r="E16" s="7" t="n">
        <v>0</v>
      </c>
      <c r="F16" s="8">
        <f>IF(B16="买入",IF(G17&lt;=0,(C16*D16+E16)/C16,(F17*G17+C16*D16+E16)/(G17+C16)),IF(B16="卖出",IF(G17-C16&lt;=0,F17,(F17*G17-C16*D16+E16)/(G17-C16)),""))</f>
        <v/>
      </c>
      <c r="G16" s="8">
        <f>IF(B16="买入",G17+C16,IF(B16="卖出",MAX(0,G17-C16),""))</f>
        <v/>
      </c>
      <c r="H16">
        <f>IF(B16="",H17,IF(B16="买入",H17,IF(B16="卖出",IF(G16=0,0,H17+(D16-F16)*C16-E16),H17)))</f>
        <v/>
      </c>
    </row>
    <row r="17">
      <c r="A17" s="6" t="inlineStr">
        <is>
          <t>2026-06-05</t>
        </is>
      </c>
      <c r="B17" s="7" t="inlineStr">
        <is>
          <t>卖出</t>
        </is>
      </c>
      <c r="C17" s="7" t="n">
        <v>2</v>
      </c>
      <c r="D17" s="7" t="n">
        <v>397</v>
      </c>
      <c r="E17" s="7" t="n">
        <v>0.02</v>
      </c>
      <c r="F17" s="8">
        <f>IF(B17="买入",IF(G18&lt;=0,(C17*D17+E17)/C17,(F18*G18+C17*D17+E17)/(G18+C17)),IF(B17="卖出",IF(G18-C17&lt;=0,F18,(F18*G18-C17*D17+E17)/(G18-C17)),""))</f>
        <v/>
      </c>
      <c r="G17" s="8">
        <f>IF(B17="买入",G18+C17,IF(B17="卖出",MAX(0,G18-C17),""))</f>
        <v/>
      </c>
      <c r="H17">
        <f>IF(B17="",H18,IF(B17="买入",H18,IF(B17="卖出",IF(G17=0,0,H18+(D17-F17)*C17-E17),H18)))</f>
        <v/>
      </c>
    </row>
    <row r="18">
      <c r="A18" s="6" t="inlineStr">
        <is>
          <t>2026-06-05</t>
        </is>
      </c>
      <c r="B18" s="7" t="inlineStr">
        <is>
          <t>买入</t>
        </is>
      </c>
      <c r="C18" s="7" t="n">
        <v>1</v>
      </c>
      <c r="D18" s="7" t="n">
        <v>392.5</v>
      </c>
      <c r="E18" s="7" t="n">
        <v>0</v>
      </c>
      <c r="F18" s="8">
        <f>IF(B18="买入",IF(G19&lt;=0,(C18*D18+E18)/C18,(F19*G19+C18*D18+E18)/(G19+C18)),IF(B18="卖出",IF(G19-C18&lt;=0,F19,(F19*G19-C18*D18+E18)/(G19-C18)),""))</f>
        <v/>
      </c>
      <c r="G18" s="8">
        <f>IF(B18="买入",G19+C18,IF(B18="卖出",MAX(0,G19-C18),""))</f>
        <v/>
      </c>
      <c r="H18">
        <f>IF(B18="",H19,IF(B18="买入",H19,IF(B18="卖出",IF(G18=0,0,H19+(D18-F18)*C18-E18),H19)))</f>
        <v/>
      </c>
    </row>
    <row r="19">
      <c r="A19" s="6" t="inlineStr">
        <is>
          <t>2026-06-05</t>
        </is>
      </c>
      <c r="B19" s="7" t="inlineStr">
        <is>
          <t>买入</t>
        </is>
      </c>
      <c r="C19" s="7" t="n">
        <v>1</v>
      </c>
      <c r="D19" s="7" t="n">
        <v>396.27</v>
      </c>
      <c r="E19" s="7" t="n">
        <v>0</v>
      </c>
      <c r="F19" s="8">
        <f>IF(B19="买入",IF(G20&lt;=0,(C19*D19+E19)/C19,(F20*G20+C19*D19+E19)/(G20+C19)),IF(B19="卖出",IF(G20-C19&lt;=0,F20,(F20*G20-C19*D19+E19)/(G20-C19)),""))</f>
        <v/>
      </c>
      <c r="G19" s="8">
        <f>IF(B19="买入",G20+C19,IF(B19="卖出",MAX(0,G20-C19),""))</f>
        <v/>
      </c>
      <c r="H19">
        <f>IF(B19="",H20,IF(B19="买入",H20,IF(B19="卖出",IF(G19=0,0,H20+(D19-F19)*C19-E19),H20)))</f>
        <v/>
      </c>
    </row>
    <row r="20">
      <c r="A20" s="6" t="inlineStr">
        <is>
          <t>2026-06-05</t>
        </is>
      </c>
      <c r="B20" s="7" t="inlineStr">
        <is>
          <t>买入</t>
        </is>
      </c>
      <c r="C20" s="7" t="n">
        <v>1</v>
      </c>
      <c r="D20" s="7" t="n">
        <v>398.6828</v>
      </c>
      <c r="E20" s="7" t="n">
        <v>0</v>
      </c>
      <c r="F20" s="8">
        <f>IF(B20="买入",IF(G21&lt;=0,(C20*D20+E20)/C20,(F21*G21+C20*D20+E20)/(G21+C20)),IF(B20="卖出",IF(G21-C20&lt;=0,F21,(F21*G21-C20*D20+E20)/(G21-C20)),""))</f>
        <v/>
      </c>
      <c r="G20" s="8">
        <f>IF(B20="买入",G21+C20,IF(B20="卖出",MAX(0,G21-C20),""))</f>
        <v/>
      </c>
      <c r="H20">
        <f>IF(B20="",H21,IF(B20="买入",H21,IF(B20="卖出",IF(G20=0,0,H21+(D20-F20)*C20-E20),H21)))</f>
        <v/>
      </c>
    </row>
    <row r="21">
      <c r="A21" s="6" t="inlineStr">
        <is>
          <t>2026-06-05</t>
        </is>
      </c>
      <c r="B21" s="7" t="inlineStr">
        <is>
          <t>买入</t>
        </is>
      </c>
      <c r="C21" s="7" t="n">
        <v>5</v>
      </c>
      <c r="D21" s="7" t="n">
        <v>401.385</v>
      </c>
      <c r="E21" s="7" t="n">
        <v>0</v>
      </c>
      <c r="F21" s="8">
        <f>IF(B21="买入",IF(G22&lt;=0,(C21*D21+E21)/C21,(F22*G22+C21*D21+E21)/(G22+C21)),IF(B21="卖出",IF(G22-C21&lt;=0,F22,(F22*G22-C21*D21+E21)/(G22-C21)),""))</f>
        <v/>
      </c>
      <c r="G21" s="8">
        <f>IF(B21="买入",G22+C21,IF(B21="卖出",MAX(0,G22-C21),""))</f>
        <v/>
      </c>
      <c r="H21">
        <f>IF(B21="",H22,IF(B21="买入",H22,IF(B21="卖出",IF(G21=0,0,H22+(D21-F21)*C21-E21),H22)))</f>
        <v/>
      </c>
    </row>
    <row r="22">
      <c r="A22" s="6" t="inlineStr">
        <is>
          <t>2026-01-02</t>
        </is>
      </c>
      <c r="B22" s="7" t="inlineStr">
        <is>
          <t>卖出</t>
        </is>
      </c>
      <c r="C22" s="7" t="n">
        <v>1.1458</v>
      </c>
      <c r="D22" s="7" t="n">
        <v>353.3514</v>
      </c>
      <c r="E22" s="7" t="n">
        <v>0</v>
      </c>
      <c r="F22" s="8">
        <f>IF(B22="买入",IF(G23&lt;=0,(C22*D22+E22)/C22,(F23*G23+C22*D22+E22)/(G23+C22)),IF(B22="卖出",IF(G23-C22&lt;=0,F23,(F23*G23-C22*D22+E22)/(G23-C22)),""))</f>
        <v/>
      </c>
      <c r="G22" s="8">
        <f>IF(B22="买入",G23+C22,IF(B22="卖出",MAX(0,G23-C22),""))</f>
        <v/>
      </c>
      <c r="H22">
        <f>IF(B22="",H23,IF(B22="买入",H23,IF(B22="卖出",IF(G22=0,0,H23+(D22-F22)*C22-E22),H23)))</f>
        <v/>
      </c>
    </row>
    <row r="23">
      <c r="A23" s="6" t="inlineStr">
        <is>
          <t>2025-12-23</t>
        </is>
      </c>
      <c r="B23" s="7" t="inlineStr">
        <is>
          <t>买入</t>
        </is>
      </c>
      <c r="C23" s="7" t="n">
        <v>1</v>
      </c>
      <c r="D23" s="7" t="n">
        <v>349.5</v>
      </c>
      <c r="E23" s="7" t="n">
        <v>0</v>
      </c>
      <c r="F23" s="8">
        <f>IF(B23="买入",IF(G24&lt;=0,(C23*D23+E23)/C23,(F24*G24+C23*D23+E23)/(G24+C23)),IF(B23="卖出",IF(G24-C23&lt;=0,F24,(F24*G24-C23*D23+E23)/(G24-C23)),""))</f>
        <v/>
      </c>
      <c r="G23" s="8">
        <f>IF(B23="买入",G24+C23,IF(B23="卖出",MAX(0,G24-C23),""))</f>
        <v/>
      </c>
      <c r="H23">
        <f>IF(B23="",H24,IF(B23="买入",H24,IF(B23="卖出",IF(G23=0,0,H24+(D23-F23)*C23-E23),H24)))</f>
        <v/>
      </c>
    </row>
    <row r="24">
      <c r="A24" s="6" t="inlineStr">
        <is>
          <t>2025-12-23</t>
        </is>
      </c>
      <c r="B24" s="7" t="inlineStr">
        <is>
          <t>买入</t>
        </is>
      </c>
      <c r="C24" s="7" t="n">
        <v>0.0723</v>
      </c>
      <c r="D24" s="7" t="n">
        <v>345.7</v>
      </c>
      <c r="E24" s="7" t="n">
        <v>0</v>
      </c>
      <c r="F24" s="8">
        <f>IF(B24="买入",IF(G25&lt;=0,(C24*D24+E24)/C24,(F25*G25+C24*D24+E24)/(G25+C24)),IF(B24="卖出",IF(G25-C24&lt;=0,F25,(F25*G25-C24*D24+E24)/(G25-C24)),""))</f>
        <v/>
      </c>
      <c r="G24" s="8">
        <f>IF(B24="买入",G25+C24,IF(B24="卖出",MAX(0,G25-C24),""))</f>
        <v/>
      </c>
      <c r="H24">
        <f>IF(B24="",H25,IF(B24="买入",H25,IF(B24="卖出",IF(G24=0,0,H25+(D24-F24)*C24-E24),H25)))</f>
        <v/>
      </c>
    </row>
    <row r="25">
      <c r="A25" s="6" t="inlineStr">
        <is>
          <t>2025-12-22</t>
        </is>
      </c>
      <c r="B25" s="7" t="inlineStr">
        <is>
          <t>买入</t>
        </is>
      </c>
      <c r="C25" s="7" t="n">
        <v>0.0735</v>
      </c>
      <c r="D25" s="7" t="n">
        <v>340.0563</v>
      </c>
      <c r="E25" s="7" t="n">
        <v>0</v>
      </c>
      <c r="F25" s="8">
        <f>IF(B25="买入",(C25*D25+E25)/C25,"")</f>
        <v/>
      </c>
      <c r="G25" s="8">
        <f>IF(B25="买入",C25,IF(B25="卖出",-C25,""))</f>
        <v/>
      </c>
      <c r="H25">
        <f>IF(B25="买入",0,IF(B25="卖出",IF(G25=0,0,(D25-F25)*C25-E25),0))</f>
        <v/>
      </c>
    </row>
    <row r="26">
      <c r="A26" s="6" t="n"/>
      <c r="B26" s="7" t="n"/>
      <c r="C26" s="7" t="n"/>
      <c r="D26" s="7" t="n"/>
      <c r="E26" s="7" t="n"/>
      <c r="F26" s="8">
        <f>IF(B26="买入",IF(G27&lt;=0,(C26*D26+E26)/C26,(F27*G27+C26*D26+E26)/(G27+C26)),IF(B26="卖出",IF(G27-C26&lt;=0,F27,(F27*G27-C26*D26+E26)/(G27-C26)),""))</f>
        <v/>
      </c>
      <c r="G26" s="8">
        <f>IF(B26="买入",G27+C26,IF(B26="卖出",MAX(0,G27-C26),""))</f>
        <v/>
      </c>
      <c r="H26">
        <f>IF(B26="",H27,IF(B26="买入",H27,IF(B26="卖出",IF(G26=0,0,H27+(D26-F26)*C26-E26),H27)))</f>
        <v/>
      </c>
    </row>
    <row r="27">
      <c r="A27" s="6" t="n"/>
      <c r="B27" s="7" t="n"/>
      <c r="C27" s="7" t="n"/>
      <c r="D27" s="7" t="n"/>
      <c r="E27" s="7" t="n"/>
      <c r="F27" s="8">
        <f>IF(B27="买入",IF(G28&lt;=0,(C27*D27+E27)/C27,(F28*G28+C27*D27+E27)/(G28+C27)),IF(B27="卖出",IF(G28-C27&lt;=0,F28,(F28*G28-C27*D27+E27)/(G28-C27)),""))</f>
        <v/>
      </c>
      <c r="G27" s="8">
        <f>IF(B27="买入",G28+C27,IF(B27="卖出",MAX(0,G28-C27),""))</f>
        <v/>
      </c>
      <c r="H27">
        <f>IF(B27="",H28,IF(B27="买入",H28,IF(B27="卖出",IF(G27=0,0,H28+(D27-F27)*C27-E27),H28)))</f>
        <v/>
      </c>
    </row>
    <row r="28">
      <c r="A28" s="6" t="n"/>
      <c r="B28" s="7" t="n"/>
      <c r="C28" s="7" t="n"/>
      <c r="D28" s="7" t="n"/>
      <c r="E28" s="7" t="n"/>
      <c r="F28" s="8">
        <f>IF(B28="买入",IF(G29&lt;=0,(C28*D28+E28)/C28,(F29*G29+C28*D28+E28)/(G29+C28)),IF(B28="卖出",IF(G29-C28&lt;=0,F29,(F29*G29-C28*D28+E28)/(G29-C28)),""))</f>
        <v/>
      </c>
      <c r="G28" s="8">
        <f>IF(B28="买入",G29+C28,IF(B28="卖出",MAX(0,G29-C28),""))</f>
        <v/>
      </c>
      <c r="H28">
        <f>IF(B28="",H29,IF(B28="买入",H29,IF(B28="卖出",IF(G28=0,0,H29+(D28-F28)*C28-E28),H29)))</f>
        <v/>
      </c>
    </row>
    <row r="29">
      <c r="A29" s="6" t="n"/>
      <c r="B29" s="7" t="n"/>
      <c r="C29" s="7" t="n"/>
      <c r="D29" s="7" t="n"/>
      <c r="E29" s="7" t="n"/>
      <c r="F29" s="8">
        <f>IF(B29="买入",IF(G30&lt;=0,(C29*D29+E29)/C29,(F30*G30+C29*D29+E29)/(G30+C29)),IF(B29="卖出",IF(G30-C29&lt;=0,F30,(F30*G30-C29*D29+E29)/(G30-C29)),""))</f>
        <v/>
      </c>
      <c r="G29" s="8">
        <f>IF(B29="买入",G30+C29,IF(B29="卖出",MAX(0,G30-C29),""))</f>
        <v/>
      </c>
      <c r="H29">
        <f>IF(B29="",H30,IF(B29="买入",H30,IF(B29="卖出",IF(G29=0,0,H30+(D29-F29)*C29-E29),H30)))</f>
        <v/>
      </c>
    </row>
    <row r="30">
      <c r="A30" s="6" t="n"/>
      <c r="B30" s="7" t="n"/>
      <c r="C30" s="7" t="n"/>
      <c r="D30" s="7" t="n"/>
      <c r="E30" s="7" t="n"/>
      <c r="F30" s="8">
        <f>IF(B30="买入",IF(G31&lt;=0,(C30*D30+E30)/C30,(F31*G31+C30*D30+E30)/(G31+C30)),IF(B30="卖出",IF(G31-C30&lt;=0,F31,(F31*G31-C30*D30+E30)/(G31-C30)),""))</f>
        <v/>
      </c>
      <c r="G30" s="8">
        <f>IF(B30="买入",G31+C30,IF(B30="卖出",MAX(0,G31-C30),""))</f>
        <v/>
      </c>
      <c r="H30">
        <f>IF(B30="",H31,IF(B30="买入",H31,IF(B30="卖出",IF(G30=0,0,H31+(D30-F30)*C30-E30),H31)))</f>
        <v/>
      </c>
    </row>
    <row r="31">
      <c r="A31" s="6" t="n"/>
      <c r="B31" s="7" t="n"/>
      <c r="C31" s="7" t="n"/>
      <c r="D31" s="7" t="n"/>
      <c r="E31" s="7" t="n"/>
      <c r="F31" s="8">
        <f>IF(B31="买入",IF(G32&lt;=0,(C31*D31+E31)/C31,(F32*G32+C31*D31+E31)/(G32+C31)),IF(B31="卖出",IF(G32-C31&lt;=0,F32,(F32*G32-C31*D31+E31)/(G32-C31)),""))</f>
        <v/>
      </c>
      <c r="G31" s="8">
        <f>IF(B31="买入",G32+C31,IF(B31="卖出",MAX(0,G32-C31),""))</f>
        <v/>
      </c>
      <c r="H31">
        <f>IF(B31="",H32,IF(B31="买入",H32,IF(B31="卖出",IF(G31=0,0,H32+(D31-F31)*C31-E31),H32)))</f>
        <v/>
      </c>
    </row>
    <row r="32">
      <c r="A32" s="6" t="n"/>
      <c r="B32" s="7" t="n"/>
      <c r="C32" s="7" t="n"/>
      <c r="D32" s="7" t="n"/>
      <c r="E32" s="7" t="n"/>
      <c r="F32" s="8">
        <f>IF(B32="买入",IF(G33&lt;=0,(C32*D32+E32)/C32,(F33*G33+C32*D32+E32)/(G33+C32)),IF(B32="卖出",IF(G33-C32&lt;=0,F33,(F33*G33-C32*D32+E32)/(G33-C32)),""))</f>
        <v/>
      </c>
      <c r="G32" s="8">
        <f>IF(B32="买入",G33+C32,IF(B32="卖出",MAX(0,G33-C32),""))</f>
        <v/>
      </c>
      <c r="H32">
        <f>IF(B32="",H33,IF(B32="买入",H33,IF(B32="卖出",IF(G32=0,0,H33+(D32-F32)*C32-E32),H33)))</f>
        <v/>
      </c>
    </row>
    <row r="33">
      <c r="A33" s="6" t="n"/>
      <c r="B33" s="7" t="n"/>
      <c r="C33" s="7" t="n"/>
      <c r="D33" s="7" t="n"/>
      <c r="E33" s="7" t="n"/>
      <c r="F33" s="8">
        <f>IF(B33="买入",IF(G34&lt;=0,(C33*D33+E33)/C33,(F34*G34+C33*D33+E33)/(G34+C33)),IF(B33="卖出",IF(G34-C33&lt;=0,F34,(F34*G34-C33*D33+E33)/(G34-C33)),""))</f>
        <v/>
      </c>
      <c r="G33" s="8">
        <f>IF(B33="买入",G34+C33,IF(B33="卖出",MAX(0,G34-C33),""))</f>
        <v/>
      </c>
      <c r="H33">
        <f>IF(B33="",H34,IF(B33="买入",H34,IF(B33="卖出",IF(G33=0,0,H34+(D33-F33)*C33-E33),H34)))</f>
        <v/>
      </c>
    </row>
    <row r="34">
      <c r="A34" s="6" t="n"/>
      <c r="B34" s="7" t="n"/>
      <c r="C34" s="7" t="n"/>
      <c r="D34" s="7" t="n"/>
      <c r="E34" s="7" t="n"/>
      <c r="F34" s="8">
        <f>IF(B34="买入",IF(G35&lt;=0,(C34*D34+E34)/C34,(F35*G35+C34*D34+E34)/(G35+C34)),IF(B34="卖出",IF(G35-C34&lt;=0,F35,(F35*G35-C34*D34+E34)/(G35-C34)),""))</f>
        <v/>
      </c>
      <c r="G34" s="8">
        <f>IF(B34="买入",G35+C34,IF(B34="卖出",MAX(0,G35-C34),""))</f>
        <v/>
      </c>
      <c r="H34">
        <f>IF(B34="",H35,IF(B34="买入",H35,IF(B34="卖出",IF(G34=0,0,H35+(D34-F34)*C34-E34),H35)))</f>
        <v/>
      </c>
    </row>
    <row r="35">
      <c r="A35" s="6" t="n"/>
      <c r="B35" s="7" t="n"/>
      <c r="C35" s="7" t="n"/>
      <c r="D35" s="7" t="n"/>
      <c r="E35" s="7" t="n"/>
      <c r="F35" s="8">
        <f>IF(B35="买入",IF(G36&lt;=0,(C35*D35+E35)/C35,(F36*G36+C35*D35+E35)/(G36+C35)),IF(B35="卖出",IF(G36-C35&lt;=0,F36,(F36*G36-C35*D35+E35)/(G36-C35)),""))</f>
        <v/>
      </c>
      <c r="G35" s="8">
        <f>IF(B35="买入",G36+C35,IF(B35="卖出",MAX(0,G36-C35),""))</f>
        <v/>
      </c>
      <c r="H35">
        <f>IF(B35="",H36,IF(B35="买入",H36,IF(B35="卖出",IF(G35=0,0,H36+(D35-F35)*C35-E35),H36)))</f>
        <v/>
      </c>
    </row>
    <row r="36">
      <c r="A36" s="6" t="n"/>
      <c r="B36" s="7" t="n"/>
      <c r="C36" s="7" t="n"/>
      <c r="D36" s="7" t="n"/>
      <c r="E36" s="7" t="n"/>
      <c r="F36" s="8">
        <f>IF(B36="买入",IF(G37&lt;=0,(C36*D36+E36)/C36,(F37*G37+C36*D36+E36)/(G37+C36)),IF(B36="卖出",IF(G37-C36&lt;=0,F37,(F37*G37-C36*D36+E36)/(G37-C36)),""))</f>
        <v/>
      </c>
      <c r="G36" s="8">
        <f>IF(B36="买入",G37+C36,IF(B36="卖出",MAX(0,G37-C36),""))</f>
        <v/>
      </c>
      <c r="H36">
        <f>IF(B36="",H37,IF(B36="买入",H37,IF(B36="卖出",IF(G36=0,0,H37+(D36-F36)*C36-E36),H37)))</f>
        <v/>
      </c>
    </row>
    <row r="37">
      <c r="A37" s="6" t="n"/>
      <c r="B37" s="7" t="n"/>
      <c r="C37" s="7" t="n"/>
      <c r="D37" s="7" t="n"/>
      <c r="E37" s="7" t="n"/>
      <c r="F37" s="8">
        <f>IF(B37="买入",IF(G38&lt;=0,(C37*D37+E37)/C37,(F38*G38+C37*D37+E37)/(G38+C37)),IF(B37="卖出",IF(G38-C37&lt;=0,F38,(F38*G38-C37*D37+E37)/(G38-C37)),""))</f>
        <v/>
      </c>
      <c r="G37" s="8">
        <f>IF(B37="买入",G38+C37,IF(B37="卖出",MAX(0,G38-C37),""))</f>
        <v/>
      </c>
      <c r="H37">
        <f>IF(B37="",H38,IF(B37="买入",H38,IF(B37="卖出",IF(G37=0,0,H38+(D37-F37)*C37-E37),H38)))</f>
        <v/>
      </c>
    </row>
    <row r="38">
      <c r="A38" s="6" t="n"/>
      <c r="B38" s="7" t="n"/>
      <c r="C38" s="7" t="n"/>
      <c r="D38" s="7" t="n"/>
      <c r="E38" s="7" t="n"/>
      <c r="F38" s="8">
        <f>IF(B38="买入",IF(G39&lt;=0,(C38*D38+E38)/C38,(F39*G39+C38*D38+E38)/(G39+C38)),IF(B38="卖出",IF(G39-C38&lt;=0,F39,(F39*G39-C38*D38+E38)/(G39-C38)),""))</f>
        <v/>
      </c>
      <c r="G38" s="8">
        <f>IF(B38="买入",G39+C38,IF(B38="卖出",MAX(0,G39-C38),""))</f>
        <v/>
      </c>
      <c r="H38">
        <f>IF(B38="",H39,IF(B38="买入",H39,IF(B38="卖出",IF(G38=0,0,H39+(D38-F38)*C38-E38),H39)))</f>
        <v/>
      </c>
    </row>
    <row r="39">
      <c r="A39" s="6" t="n"/>
      <c r="B39" s="7" t="n"/>
      <c r="C39" s="7" t="n"/>
      <c r="D39" s="7" t="n"/>
      <c r="E39" s="7" t="n"/>
      <c r="F39" s="8">
        <f>IF(B39="买入",IF(G40&lt;=0,(C39*D39+E39)/C39,(F40*G40+C39*D39+E39)/(G40+C39)),IF(B39="卖出",IF(G40-C39&lt;=0,F40,(F40*G40-C39*D39+E39)/(G40-C39)),""))</f>
        <v/>
      </c>
      <c r="G39" s="8">
        <f>IF(B39="买入",G40+C39,IF(B39="卖出",MAX(0,G40-C39),""))</f>
        <v/>
      </c>
      <c r="H39">
        <f>IF(B39="",H40,IF(B39="买入",H40,IF(B39="卖出",IF(G39=0,0,H40+(D39-F39)*C39-E39),H40)))</f>
        <v/>
      </c>
    </row>
    <row r="40">
      <c r="A40" s="6" t="n"/>
      <c r="B40" s="7" t="n"/>
      <c r="C40" s="7" t="n"/>
      <c r="D40" s="7" t="n"/>
      <c r="E40" s="7" t="n"/>
      <c r="F40" s="8">
        <f>IF(B40="买入",IF(G41&lt;=0,(C40*D40+E40)/C40,(F41*G41+C40*D40+E40)/(G41+C40)),IF(B40="卖出",IF(G41-C40&lt;=0,F41,(F41*G41-C40*D40+E40)/(G41-C40)),""))</f>
        <v/>
      </c>
      <c r="G40" s="8">
        <f>IF(B40="买入",G41+C40,IF(B40="卖出",MAX(0,G41-C40),""))</f>
        <v/>
      </c>
      <c r="H40">
        <f>IF(B40="",H41,IF(B40="买入",H41,IF(B40="卖出",IF(G40=0,0,H41+(D40-F40)*C40-E40),H41)))</f>
        <v/>
      </c>
    </row>
    <row r="41">
      <c r="A41" s="6" t="n"/>
      <c r="B41" s="7" t="n"/>
      <c r="C41" s="7" t="n"/>
      <c r="D41" s="7" t="n"/>
      <c r="E41" s="7" t="n"/>
      <c r="F41" s="8">
        <f>IF(B41="买入",IF(G42&lt;=0,(C41*D41+E41)/C41,(F42*G42+C41*D41+E41)/(G42+C41)),IF(B41="卖出",IF(G42-C41&lt;=0,F42,(F42*G42-C41*D41+E41)/(G42-C41)),""))</f>
        <v/>
      </c>
      <c r="G41" s="8">
        <f>IF(B41="买入",G42+C41,IF(B41="卖出",MAX(0,G42-C41),""))</f>
        <v/>
      </c>
      <c r="H41">
        <f>IF(B41="",H42,IF(B41="买入",H42,IF(B41="卖出",IF(G41=0,0,H42+(D41-F41)*C41-E41),H42)))</f>
        <v/>
      </c>
    </row>
    <row r="42">
      <c r="A42" s="6" t="n"/>
      <c r="B42" s="7" t="n"/>
      <c r="C42" s="7" t="n"/>
      <c r="D42" s="7" t="n"/>
      <c r="E42" s="7" t="n"/>
      <c r="F42" s="8">
        <f>IF(B42="买入",IF(G43&lt;=0,(C42*D42+E42)/C42,(F43*G43+C42*D42+E42)/(G43+C42)),IF(B42="卖出",IF(G43-C42&lt;=0,F43,(F43*G43-C42*D42+E42)/(G43-C42)),""))</f>
        <v/>
      </c>
      <c r="G42" s="8">
        <f>IF(B42="买入",G43+C42,IF(B42="卖出",MAX(0,G43-C42),""))</f>
        <v/>
      </c>
      <c r="H42">
        <f>IF(B42="",H43,IF(B42="买入",H43,IF(B42="卖出",IF(G42=0,0,H43+(D42-F42)*C42-E42),H43)))</f>
        <v/>
      </c>
    </row>
    <row r="43">
      <c r="A43" s="6" t="n"/>
      <c r="B43" s="7" t="n"/>
      <c r="C43" s="7" t="n"/>
      <c r="D43" s="7" t="n"/>
      <c r="E43" s="7" t="n"/>
      <c r="F43" s="8">
        <f>IF(B43="买入",IF(G44&lt;=0,(C43*D43+E43)/C43,(F44*G44+C43*D43+E43)/(G44+C43)),IF(B43="卖出",IF(G44-C43&lt;=0,F44,(F44*G44-C43*D43+E43)/(G44-C43)),""))</f>
        <v/>
      </c>
      <c r="G43" s="8">
        <f>IF(B43="买入",G44+C43,IF(B43="卖出",MAX(0,G44-C43),""))</f>
        <v/>
      </c>
      <c r="H43">
        <f>IF(B43="",H44,IF(B43="买入",H44,IF(B43="卖出",IF(G43=0,0,H44+(D43-F43)*C43-E43),H44)))</f>
        <v/>
      </c>
    </row>
    <row r="44">
      <c r="A44" s="6" t="n"/>
      <c r="B44" s="7" t="n"/>
      <c r="C44" s="7" t="n"/>
      <c r="D44" s="7" t="n"/>
      <c r="E44" s="7" t="n"/>
      <c r="F44" s="8">
        <f>IF(B44="买入",IF(G45&lt;=0,(C44*D44+E44)/C44,(F45*G45+C44*D44+E44)/(G45+C44)),IF(B44="卖出",IF(G45-C44&lt;=0,F45,(F45*G45-C44*D44+E44)/(G45-C44)),""))</f>
        <v/>
      </c>
      <c r="G44" s="8">
        <f>IF(B44="买入",G45+C44,IF(B44="卖出",MAX(0,G45-C44),""))</f>
        <v/>
      </c>
      <c r="H44">
        <f>IF(B44="",H45,IF(B44="买入",H45,IF(B44="卖出",IF(G44=0,0,H45+(D44-F44)*C44-E44),H45)))</f>
        <v/>
      </c>
    </row>
    <row r="45">
      <c r="A45" s="6" t="n"/>
      <c r="B45" s="7" t="n"/>
      <c r="C45" s="7" t="n"/>
      <c r="D45" s="7" t="n"/>
      <c r="E45" s="7" t="n"/>
      <c r="F45" s="8">
        <f>IF(B45="买入",IF(G46&lt;=0,(C45*D45+E45)/C45,(F46*G46+C45*D45+E45)/(G46+C45)),IF(B45="卖出",IF(G46-C45&lt;=0,F46,(F46*G46-C45*D45+E45)/(G46-C45)),""))</f>
        <v/>
      </c>
      <c r="G45" s="8">
        <f>IF(B45="买入",G46+C45,IF(B45="卖出",MAX(0,G46-C45),""))</f>
        <v/>
      </c>
      <c r="H45">
        <f>IF(B45="",H46,IF(B45="买入",H46,IF(B45="卖出",IF(G45=0,0,H46+(D45-F45)*C45-E45),H46)))</f>
        <v/>
      </c>
    </row>
    <row r="46">
      <c r="A46" s="6" t="n"/>
      <c r="B46" s="7" t="n"/>
      <c r="C46" s="7" t="n"/>
      <c r="D46" s="7" t="n"/>
      <c r="E46" s="7" t="n"/>
      <c r="F46" s="8">
        <f>IF(B46="买入",IF(G47&lt;=0,(C46*D46+E46)/C46,(F47*G47+C46*D46+E46)/(G47+C46)),IF(B46="卖出",IF(G47-C46&lt;=0,F47,(F47*G47-C46*D46+E46)/(G47-C46)),""))</f>
        <v/>
      </c>
      <c r="G46" s="8">
        <f>IF(B46="买入",G47+C46,IF(B46="卖出",MAX(0,G47-C46),""))</f>
        <v/>
      </c>
      <c r="H46">
        <f>IF(B46="",H47,IF(B46="买入",H47,IF(B46="卖出",IF(G46=0,0,H47+(D46-F46)*C46-E46),H47)))</f>
        <v/>
      </c>
    </row>
    <row r="47">
      <c r="A47" s="6" t="n"/>
      <c r="B47" s="7" t="n"/>
      <c r="C47" s="7" t="n"/>
      <c r="D47" s="7" t="n"/>
      <c r="E47" s="7" t="n"/>
      <c r="F47" s="8">
        <f>IF(B47="买入",IF(G48&lt;=0,(C47*D47+E47)/C47,(F48*G48+C47*D47+E47)/(G48+C47)),IF(B47="卖出",IF(G48-C47&lt;=0,F48,(F48*G48-C47*D47+E47)/(G48-C47)),""))</f>
        <v/>
      </c>
      <c r="G47" s="8">
        <f>IF(B47="买入",G48+C47,IF(B47="卖出",MAX(0,G48-C47),""))</f>
        <v/>
      </c>
      <c r="H47">
        <f>IF(B47="",H48,IF(B47="买入",H48,IF(B47="卖出",IF(G47=0,0,H48+(D47-F47)*C47-E47),H48)))</f>
        <v/>
      </c>
    </row>
    <row r="48">
      <c r="A48" s="6" t="n"/>
      <c r="B48" s="7" t="n"/>
      <c r="C48" s="7" t="n"/>
      <c r="D48" s="7" t="n"/>
      <c r="E48" s="7" t="n"/>
      <c r="F48" s="8">
        <f>IF(B48="买入",IF(G49&lt;=0,(C48*D48+E48)/C48,(F49*G49+C48*D48+E48)/(G49+C48)),IF(B48="卖出",IF(G49-C48&lt;=0,F49,(F49*G49-C48*D48+E48)/(G49-C48)),""))</f>
        <v/>
      </c>
      <c r="G48" s="8">
        <f>IF(B48="买入",G49+C48,IF(B48="卖出",MAX(0,G49-C48),""))</f>
        <v/>
      </c>
      <c r="H48">
        <f>IF(B48="",H49,IF(B48="买入",H49,IF(B48="卖出",IF(G48=0,0,H49+(D48-F48)*C48-E48),H49)))</f>
        <v/>
      </c>
    </row>
    <row r="49">
      <c r="A49" s="6" t="n"/>
      <c r="B49" s="7" t="n"/>
      <c r="C49" s="7" t="n"/>
      <c r="D49" s="7" t="n"/>
      <c r="E49" s="7" t="n"/>
      <c r="F49" s="8">
        <f>IF(B49="买入",IF(G50&lt;=0,(C49*D49+E49)/C49,(F50*G50+C49*D49+E49)/(G50+C49)),IF(B49="卖出",IF(G50-C49&lt;=0,F50,(F50*G50-C49*D49+E49)/(G50-C49)),""))</f>
        <v/>
      </c>
      <c r="G49" s="8">
        <f>IF(B49="买入",G50+C49,IF(B49="卖出",MAX(0,G50-C49),""))</f>
        <v/>
      </c>
      <c r="H49">
        <f>IF(B49="",H50,IF(B49="买入",H50,IF(B49="卖出",IF(G49=0,0,H50+(D49-F49)*C49-E49),H50)))</f>
        <v/>
      </c>
    </row>
    <row r="50">
      <c r="A50" s="6" t="n"/>
      <c r="B50" s="7" t="n"/>
      <c r="C50" s="7" t="n"/>
      <c r="D50" s="7" t="n"/>
      <c r="E50" s="7" t="n"/>
      <c r="F50" s="8">
        <f>IF(B50="买入",IF(G51&lt;=0,(C50*D50+E50)/C50,(F51*G51+C50*D50+E50)/(G51+C50)),IF(B50="卖出",IF(G51-C50&lt;=0,F51,(F51*G51-C50*D50+E50)/(G51-C50)),""))</f>
        <v/>
      </c>
      <c r="G50" s="8">
        <f>IF(B50="买入",G51+C50,IF(B50="卖出",MAX(0,G51-C50),""))</f>
        <v/>
      </c>
      <c r="H50">
        <f>IF(B50="",H51,IF(B50="买入",H51,IF(B50="卖出",IF(G50=0,0,H51+(D50-F50)*C50-E50),H51)))</f>
        <v/>
      </c>
    </row>
    <row r="51">
      <c r="A51" s="6" t="n"/>
      <c r="B51" s="7" t="n"/>
      <c r="C51" s="7" t="n"/>
      <c r="D51" s="7" t="n"/>
      <c r="E51" s="7" t="n"/>
      <c r="F51" s="8">
        <f>IF(B51="买入",IF(G52&lt;=0,(C51*D51+E51)/C51,(F52*G52+C51*D51+E51)/(G52+C51)),IF(B51="卖出",IF(G52-C51&lt;=0,F52,(F52*G52-C51*D51+E51)/(G52-C51)),""))</f>
        <v/>
      </c>
      <c r="G51" s="8">
        <f>IF(B51="买入",G52+C51,IF(B51="卖出",MAX(0,G52-C51),""))</f>
        <v/>
      </c>
      <c r="H51">
        <f>IF(B51="",H52,IF(B51="买入",H52,IF(B51="卖出",IF(G51=0,0,H52+(D51-F51)*C51-E51),H52)))</f>
        <v/>
      </c>
    </row>
    <row r="52">
      <c r="A52" s="6" t="n"/>
      <c r="B52" s="7" t="n"/>
      <c r="C52" s="7" t="n"/>
      <c r="D52" s="7" t="n"/>
      <c r="E52" s="7" t="n"/>
      <c r="F52" s="8">
        <f>IF(B52="买入",IF(G53&lt;=0,(C52*D52+E52)/C52,(F53*G53+C52*D52+E52)/(G53+C52)),IF(B52="卖出",IF(G53-C52&lt;=0,F53,(F53*G53-C52*D52+E52)/(G53-C52)),""))</f>
        <v/>
      </c>
      <c r="G52" s="8">
        <f>IF(B52="买入",G53+C52,IF(B52="卖出",MAX(0,G53-C52),""))</f>
        <v/>
      </c>
      <c r="H52">
        <f>IF(B52="",H53,IF(B52="买入",H53,IF(B52="卖出",IF(G52=0,0,H53+(D52-F52)*C52-E52),H53)))</f>
        <v/>
      </c>
    </row>
    <row r="53">
      <c r="A53" s="6" t="n"/>
      <c r="B53" s="7" t="n"/>
      <c r="C53" s="7" t="n"/>
      <c r="D53" s="7" t="n"/>
      <c r="E53" s="7" t="n"/>
      <c r="F53" s="8">
        <f>IF(B53="买入",IF(G54&lt;=0,(C53*D53+E53)/C53,(F54*G54+C53*D53+E53)/(G54+C53)),IF(B53="卖出",IF(G54-C53&lt;=0,F54,(F54*G54-C53*D53+E53)/(G54-C53)),""))</f>
        <v/>
      </c>
      <c r="G53" s="8">
        <f>IF(B53="买入",G54+C53,IF(B53="卖出",MAX(0,G54-C53),""))</f>
        <v/>
      </c>
      <c r="H53">
        <f>IF(B53="",H54,IF(B53="买入",H54,IF(B53="卖出",IF(G53=0,0,H54+(D53-F53)*C53-E53),H54)))</f>
        <v/>
      </c>
    </row>
    <row r="54">
      <c r="A54" s="6" t="n"/>
      <c r="B54" s="7" t="n"/>
      <c r="C54" s="7" t="n"/>
      <c r="D54" s="7" t="n"/>
      <c r="E54" s="7" t="n"/>
      <c r="F54" s="8">
        <f>IF(B54="买入",IF(G55&lt;=0,(C54*D54+E54)/C54,(F55*G55+C54*D54+E54)/(G55+C54)),IF(B54="卖出",IF(G55-C54&lt;=0,F55,(F55*G55-C54*D54+E54)/(G55-C54)),""))</f>
        <v/>
      </c>
      <c r="G54" s="8">
        <f>IF(B54="买入",G55+C54,IF(B54="卖出",MAX(0,G55-C54),""))</f>
        <v/>
      </c>
      <c r="H54">
        <f>IF(B54="",H55,IF(B54="买入",H55,IF(B54="卖出",IF(G54=0,0,H55+(D54-F54)*C54-E54),H55)))</f>
        <v/>
      </c>
    </row>
    <row r="55">
      <c r="A55" s="6" t="n"/>
      <c r="B55" s="7" t="n"/>
      <c r="C55" s="7" t="n"/>
      <c r="D55" s="7" t="n"/>
      <c r="E55" s="7" t="n"/>
      <c r="F55" s="8">
        <f>IF(B55="买入",IF(G56&lt;=0,(C55*D55+E55)/C55,(F56*G56+C55*D55+E55)/(G56+C55)),IF(B55="卖出",IF(G56-C55&lt;=0,F56,(F56*G56-C55*D55+E55)/(G56-C55)),""))</f>
        <v/>
      </c>
      <c r="G55" s="8">
        <f>IF(B55="买入",G56+C55,IF(B55="卖出",MAX(0,G56-C55),""))</f>
        <v/>
      </c>
      <c r="H55">
        <f>IF(B55="",H56,IF(B55="买入",H56,IF(B55="卖出",IF(G55=0,0,H56+(D55-F55)*C55-E55),H56)))</f>
        <v/>
      </c>
    </row>
    <row r="56">
      <c r="A56" s="6" t="n"/>
      <c r="B56" s="7" t="n"/>
      <c r="C56" s="7" t="n"/>
      <c r="D56" s="7" t="n"/>
      <c r="E56" s="7" t="n"/>
      <c r="F56" s="8">
        <f>IF(B56="买入",IF(G57&lt;=0,(C56*D56+E56)/C56,(F57*G57+C56*D56+E56)/(G57+C56)),IF(B56="卖出",IF(G57-C56&lt;=0,F57,(F57*G57-C56*D56+E56)/(G57-C56)),""))</f>
        <v/>
      </c>
      <c r="G56" s="8">
        <f>IF(B56="买入",G57+C56,IF(B56="卖出",MAX(0,G57-C56),""))</f>
        <v/>
      </c>
      <c r="H56">
        <f>IF(B56="",H57,IF(B56="买入",H57,IF(B56="卖出",IF(G56=0,0,H57+(D56-F56)*C56-E56),H57)))</f>
        <v/>
      </c>
    </row>
    <row r="57">
      <c r="A57" s="6" t="n"/>
      <c r="B57" s="7" t="n"/>
      <c r="C57" s="7" t="n"/>
      <c r="D57" s="7" t="n"/>
      <c r="E57" s="7" t="n"/>
      <c r="F57" s="8">
        <f>IF(B57="买入",IF(G58&lt;=0,(C57*D57+E57)/C57,(F58*G58+C57*D57+E57)/(G58+C57)),IF(B57="卖出",IF(G58-C57&lt;=0,F58,(F58*G58-C57*D57+E57)/(G58-C57)),""))</f>
        <v/>
      </c>
      <c r="G57" s="8">
        <f>IF(B57="买入",G58+C57,IF(B57="卖出",MAX(0,G58-C57),""))</f>
        <v/>
      </c>
      <c r="H57">
        <f>IF(B57="",H58,IF(B57="买入",H58,IF(B57="卖出",IF(G57=0,0,H58+(D57-F57)*C57-E57),H58)))</f>
        <v/>
      </c>
    </row>
    <row r="58">
      <c r="A58" s="6" t="n"/>
      <c r="B58" s="7" t="n"/>
      <c r="C58" s="7" t="n"/>
      <c r="D58" s="7" t="n"/>
      <c r="E58" s="7" t="n"/>
      <c r="F58" s="8">
        <f>IF(B58="买入",IF(G59&lt;=0,(C58*D58+E58)/C58,(F59*G59+C58*D58+E58)/(G59+C58)),IF(B58="卖出",IF(G59-C58&lt;=0,F59,(F59*G59-C58*D58+E58)/(G59-C58)),""))</f>
        <v/>
      </c>
      <c r="G58" s="8">
        <f>IF(B58="买入",G59+C58,IF(B58="卖出",MAX(0,G59-C58),""))</f>
        <v/>
      </c>
      <c r="H58">
        <f>IF(B58="",H59,IF(B58="买入",H59,IF(B58="卖出",IF(G58=0,0,H59+(D58-F58)*C58-E58),H59)))</f>
        <v/>
      </c>
    </row>
    <row r="59">
      <c r="A59" s="6" t="n"/>
      <c r="B59" s="7" t="n"/>
      <c r="C59" s="7" t="n"/>
      <c r="D59" s="7" t="n"/>
      <c r="E59" s="7" t="n"/>
      <c r="F59" s="8">
        <f>IF(B59="买入",IF(G60&lt;=0,(C59*D59+E59)/C59,(F60*G60+C59*D59+E59)/(G60+C59)),IF(B59="卖出",IF(G60-C59&lt;=0,F60,(F60*G60-C59*D59+E59)/(G60-C59)),""))</f>
        <v/>
      </c>
      <c r="G59" s="8">
        <f>IF(B59="买入",G60+C59,IF(B59="卖出",MAX(0,G60-C59),""))</f>
        <v/>
      </c>
      <c r="H59">
        <f>IF(B59="",H60,IF(B59="买入",H60,IF(B59="卖出",IF(G59=0,0,H60+(D59-F59)*C59-E59),H60)))</f>
        <v/>
      </c>
    </row>
    <row r="60">
      <c r="A60" s="6" t="n"/>
      <c r="B60" s="7" t="n"/>
      <c r="C60" s="7" t="n"/>
      <c r="D60" s="7" t="n"/>
      <c r="E60" s="7" t="n"/>
      <c r="F60" s="8">
        <f>IF(B60="买入",IF(G61&lt;=0,(C60*D60+E60)/C60,(F61*G61+C60*D60+E60)/(G61+C60)),IF(B60="卖出",IF(G61-C60&lt;=0,F61,(F61*G61-C60*D60+E60)/(G61-C60)),""))</f>
        <v/>
      </c>
      <c r="G60" s="8">
        <f>IF(B60="买入",G61+C60,IF(B60="卖出",MAX(0,G61-C60),""))</f>
        <v/>
      </c>
      <c r="H60">
        <f>IF(B60="",H61,IF(B60="买入",H61,IF(B60="卖出",IF(G60=0,0,H61+(D60-F60)*C60-E60),H61)))</f>
        <v/>
      </c>
    </row>
    <row r="61">
      <c r="A61" s="6" t="n"/>
      <c r="B61" s="7" t="n"/>
      <c r="C61" s="7" t="n"/>
      <c r="D61" s="7" t="n"/>
      <c r="E61" s="7" t="n"/>
      <c r="F61" s="8">
        <f>IF(B61="买入",IF(G62&lt;=0,(C61*D61+E61)/C61,(F62*G62+C61*D61+E61)/(G62+C61)),IF(B61="卖出",IF(G62-C61&lt;=0,F62,(F62*G62-C61*D61+E61)/(G62-C61)),""))</f>
        <v/>
      </c>
      <c r="G61" s="8">
        <f>IF(B61="买入",G62+C61,IF(B61="卖出",MAX(0,G62-C61),""))</f>
        <v/>
      </c>
      <c r="H61">
        <f>IF(B61="",H62,IF(B61="买入",H62,IF(B61="卖出",IF(G61=0,0,H62+(D61-F61)*C61-E61),H62)))</f>
        <v/>
      </c>
    </row>
    <row r="62">
      <c r="A62" s="6" t="n"/>
      <c r="B62" s="7" t="n"/>
      <c r="C62" s="7" t="n"/>
      <c r="D62" s="7" t="n"/>
      <c r="E62" s="7" t="n"/>
      <c r="F62" s="8">
        <f>IF(B62="买入",IF(G63&lt;=0,(C62*D62+E62)/C62,(F63*G63+C62*D62+E62)/(G63+C62)),IF(B62="卖出",IF(G63-C62&lt;=0,F63,(F63*G63-C62*D62+E62)/(G63-C62)),""))</f>
        <v/>
      </c>
      <c r="G62" s="8">
        <f>IF(B62="买入",G63+C62,IF(B62="卖出",MAX(0,G63-C62),""))</f>
        <v/>
      </c>
      <c r="H62">
        <f>IF(B62="",H63,IF(B62="买入",H63,IF(B62="卖出",IF(G62=0,0,H63+(D62-F62)*C62-E62),H63)))</f>
        <v/>
      </c>
    </row>
    <row r="63">
      <c r="A63" s="6" t="n"/>
      <c r="B63" s="7" t="n"/>
      <c r="C63" s="7" t="n"/>
      <c r="D63" s="7" t="n"/>
      <c r="E63" s="7" t="n"/>
      <c r="F63" s="8">
        <f>IF(B63="买入",IF(G64&lt;=0,(C63*D63+E63)/C63,(F64*G64+C63*D63+E63)/(G64+C63)),IF(B63="卖出",IF(G64-C63&lt;=0,F64,(F64*G64-C63*D63+E63)/(G64-C63)),""))</f>
        <v/>
      </c>
      <c r="G63" s="8">
        <f>IF(B63="买入",G64+C63,IF(B63="卖出",MAX(0,G64-C63),""))</f>
        <v/>
      </c>
      <c r="H63">
        <f>IF(B63="",H64,IF(B63="买入",H64,IF(B63="卖出",IF(G63=0,0,H64+(D63-F63)*C63-E63),H64)))</f>
        <v/>
      </c>
    </row>
    <row r="64">
      <c r="A64" s="6" t="n"/>
      <c r="B64" s="7" t="n"/>
      <c r="C64" s="7" t="n"/>
      <c r="D64" s="7" t="n"/>
      <c r="E64" s="7" t="n"/>
      <c r="F64" s="8">
        <f>IF(B64="买入",IF(G65&lt;=0,(C64*D64+E64)/C64,(F65*G65+C64*D64+E64)/(G65+C64)),IF(B64="卖出",IF(G65-C64&lt;=0,F65,(F65*G65-C64*D64+E64)/(G65-C64)),""))</f>
        <v/>
      </c>
      <c r="G64" s="8">
        <f>IF(B64="买入",G65+C64,IF(B64="卖出",MAX(0,G65-C64),""))</f>
        <v/>
      </c>
      <c r="H64">
        <f>IF(B64="",H65,IF(B64="买入",H65,IF(B64="卖出",IF(G64=0,0,H65+(D64-F64)*C64-E64),H65)))</f>
        <v/>
      </c>
    </row>
    <row r="65">
      <c r="A65" s="6" t="n"/>
      <c r="B65" s="7" t="n"/>
      <c r="C65" s="7" t="n"/>
      <c r="D65" s="7" t="n"/>
      <c r="E65" s="7" t="n"/>
      <c r="F65" s="8">
        <f>IF(B65="买入",IF(G66&lt;=0,(C65*D65+E65)/C65,(F66*G66+C65*D65+E65)/(G66+C65)),IF(B65="卖出",IF(G66-C65&lt;=0,F66,(F66*G66-C65*D65+E65)/(G66-C65)),""))</f>
        <v/>
      </c>
      <c r="G65" s="8">
        <f>IF(B65="买入",G66+C65,IF(B65="卖出",MAX(0,G66-C65),""))</f>
        <v/>
      </c>
      <c r="H65">
        <f>IF(B65="",H66,IF(B65="买入",H66,IF(B65="卖出",IF(G65=0,0,H66+(D65-F65)*C65-E65),H66)))</f>
        <v/>
      </c>
    </row>
    <row r="66">
      <c r="A66" s="6" t="n"/>
      <c r="B66" s="7" t="n"/>
      <c r="C66" s="7" t="n"/>
      <c r="D66" s="7" t="n"/>
      <c r="E66" s="7" t="n"/>
      <c r="F66" s="8">
        <f>IF(B66="买入",IF(G67&lt;=0,(C66*D66+E66)/C66,(F67*G67+C66*D66+E66)/(G67+C66)),IF(B66="卖出",IF(G67-C66&lt;=0,F67,(F67*G67-C66*D66+E66)/(G67-C66)),""))</f>
        <v/>
      </c>
      <c r="G66" s="8">
        <f>IF(B66="买入",G67+C66,IF(B66="卖出",MAX(0,G67-C66),""))</f>
        <v/>
      </c>
      <c r="H66">
        <f>IF(B66="",H67,IF(B66="买入",H67,IF(B66="卖出",IF(G66=0,0,H67+(D66-F66)*C66-E66),H67)))</f>
        <v/>
      </c>
    </row>
    <row r="67">
      <c r="A67" s="6" t="n"/>
      <c r="B67" s="7" t="n"/>
      <c r="C67" s="7" t="n"/>
      <c r="D67" s="7" t="n"/>
      <c r="E67" s="7" t="n"/>
      <c r="F67" s="8">
        <f>IF(B67="买入",IF(G68&lt;=0,(C67*D67+E67)/C67,(F68*G68+C67*D67+E67)/(G68+C67)),IF(B67="卖出",IF(G68-C67&lt;=0,F68,(F68*G68-C67*D67+E67)/(G68-C67)),""))</f>
        <v/>
      </c>
      <c r="G67" s="8">
        <f>IF(B67="买入",G68+C67,IF(B67="卖出",MAX(0,G68-C67),""))</f>
        <v/>
      </c>
      <c r="H67">
        <f>IF(B67="",H68,IF(B67="买入",H68,IF(B67="卖出",IF(G67=0,0,H68+(D67-F67)*C67-E67),H68)))</f>
        <v/>
      </c>
    </row>
    <row r="68">
      <c r="A68" s="6" t="n"/>
      <c r="B68" s="7" t="n"/>
      <c r="C68" s="7" t="n"/>
      <c r="D68" s="7" t="n"/>
      <c r="E68" s="7" t="n"/>
      <c r="F68" s="8">
        <f>IF(B68="买入",IF(G69&lt;=0,(C68*D68+E68)/C68,(F69*G69+C68*D68+E68)/(G69+C68)),IF(B68="卖出",IF(G69-C68&lt;=0,F69,(F69*G69-C68*D68+E68)/(G69-C68)),""))</f>
        <v/>
      </c>
      <c r="G68" s="8">
        <f>IF(B68="买入",G69+C68,IF(B68="卖出",MAX(0,G69-C68),""))</f>
        <v/>
      </c>
      <c r="H68">
        <f>IF(B68="",H69,IF(B68="买入",H69,IF(B68="卖出",IF(G68=0,0,H69+(D68-F68)*C68-E68),H69)))</f>
        <v/>
      </c>
    </row>
    <row r="69">
      <c r="A69" s="6" t="n"/>
      <c r="B69" s="7" t="n"/>
      <c r="C69" s="7" t="n"/>
      <c r="D69" s="7" t="n"/>
      <c r="E69" s="7" t="n"/>
      <c r="F69" s="8">
        <f>IF(B69="买入",IF(G70&lt;=0,(C69*D69+E69)/C69,(F70*G70+C69*D69+E69)/(G70+C69)),IF(B69="卖出",IF(G70-C69&lt;=0,F70,(F70*G70-C69*D69+E69)/(G70-C69)),""))</f>
        <v/>
      </c>
      <c r="G69" s="8">
        <f>IF(B69="买入",G70+C69,IF(B69="卖出",MAX(0,G70-C69),""))</f>
        <v/>
      </c>
      <c r="H69">
        <f>IF(B69="",H70,IF(B69="买入",H70,IF(B69="卖出",IF(G69=0,0,H70+(D69-F69)*C69-E69),H70)))</f>
        <v/>
      </c>
    </row>
    <row r="70">
      <c r="A70" s="6" t="n"/>
      <c r="B70" s="7" t="n"/>
      <c r="C70" s="7" t="n"/>
      <c r="D70" s="7" t="n"/>
      <c r="E70" s="7" t="n"/>
      <c r="F70" s="8">
        <f>IF(B70="买入",IF(G71&lt;=0,(C70*D70+E70)/C70,(F71*G71+C70*D70+E70)/(G71+C70)),IF(B70="卖出",IF(G71-C70&lt;=0,F71,(F71*G71-C70*D70+E70)/(G71-C70)),""))</f>
        <v/>
      </c>
      <c r="G70" s="8">
        <f>IF(B70="买入",G71+C70,IF(B70="卖出",MAX(0,G71-C70),""))</f>
        <v/>
      </c>
      <c r="H70">
        <f>IF(B70="",H71,IF(B70="买入",H71,IF(B70="卖出",IF(G70=0,0,H71+(D70-F70)*C70-E70),H71)))</f>
        <v/>
      </c>
    </row>
    <row r="71">
      <c r="A71" s="6" t="n"/>
      <c r="B71" s="7" t="n"/>
      <c r="C71" s="7" t="n"/>
      <c r="D71" s="7" t="n"/>
      <c r="E71" s="7" t="n"/>
      <c r="F71" s="8">
        <f>IF(B71="买入",IF(G72&lt;=0,(C71*D71+E71)/C71,(F72*G72+C71*D71+E71)/(G72+C71)),IF(B71="卖出",IF(G72-C71&lt;=0,F72,(F72*G72-C71*D71+E71)/(G72-C71)),""))</f>
        <v/>
      </c>
      <c r="G71" s="8">
        <f>IF(B71="买入",G72+C71,IF(B71="卖出",MAX(0,G72-C71),""))</f>
        <v/>
      </c>
      <c r="H71">
        <f>IF(B71="",H72,IF(B71="买入",H72,IF(B71="卖出",IF(G71=0,0,H72+(D71-F71)*C71-E71),H72)))</f>
        <v/>
      </c>
    </row>
    <row r="72">
      <c r="A72" s="6" t="n"/>
      <c r="B72" s="7" t="n"/>
      <c r="C72" s="7" t="n"/>
      <c r="D72" s="7" t="n"/>
      <c r="E72" s="7" t="n"/>
      <c r="F72" s="8">
        <f>IF(B72="买入",IF(G73&lt;=0,(C72*D72+E72)/C72,(F73*G73+C72*D72+E72)/(G73+C72)),IF(B72="卖出",IF(G73-C72&lt;=0,F73,(F73*G73-C72*D72+E72)/(G73-C72)),""))</f>
        <v/>
      </c>
      <c r="G72" s="8">
        <f>IF(B72="买入",G73+C72,IF(B72="卖出",MAX(0,G73-C72),""))</f>
        <v/>
      </c>
      <c r="H72">
        <f>IF(B72="",H73,IF(B72="买入",H73,IF(B72="卖出",IF(G72=0,0,H73+(D72-F72)*C72-E72),H73)))</f>
        <v/>
      </c>
    </row>
    <row r="73">
      <c r="A73" s="6" t="n"/>
      <c r="B73" s="7" t="n"/>
      <c r="C73" s="7" t="n"/>
      <c r="D73" s="7" t="n"/>
      <c r="E73" s="7" t="n"/>
      <c r="F73" s="8">
        <f>IF(B73="买入",IF(G74&lt;=0,(C73*D73+E73)/C73,(F74*G74+C73*D73+E73)/(G74+C73)),IF(B73="卖出",IF(G74-C73&lt;=0,F74,(F74*G74-C73*D73+E73)/(G74-C73)),""))</f>
        <v/>
      </c>
      <c r="G73" s="8">
        <f>IF(B73="买入",G74+C73,IF(B73="卖出",MAX(0,G74-C73),""))</f>
        <v/>
      </c>
      <c r="H73">
        <f>IF(B73="",H74,IF(B73="买入",H74,IF(B73="卖出",IF(G73=0,0,H74+(D73-F73)*C73-E73),H74)))</f>
        <v/>
      </c>
    </row>
    <row r="74">
      <c r="A74" s="6" t="n"/>
      <c r="B74" s="7" t="n"/>
      <c r="C74" s="7" t="n"/>
      <c r="D74" s="7" t="n"/>
      <c r="E74" s="7" t="n"/>
      <c r="F74" s="8">
        <f>IF(B74="买入",IF(G75&lt;=0,(C74*D74+E74)/C74,(F75*G75+C74*D74+E74)/(G75+C74)),IF(B74="卖出",IF(G75-C74&lt;=0,F75,(F75*G75-C74*D74+E74)/(G75-C74)),""))</f>
        <v/>
      </c>
      <c r="G74" s="8">
        <f>IF(B74="买入",G75+C74,IF(B74="卖出",MAX(0,G75-C74),""))</f>
        <v/>
      </c>
      <c r="H74">
        <f>IF(B74="",H75,IF(B74="买入",H75,IF(B74="卖出",IF(G74=0,0,H75+(D74-F74)*C74-E74),H75)))</f>
        <v/>
      </c>
    </row>
    <row r="75">
      <c r="A75" s="6" t="n"/>
      <c r="B75" s="7" t="n"/>
      <c r="C75" s="7" t="n"/>
      <c r="D75" s="7" t="n"/>
      <c r="E75" s="7" t="n"/>
      <c r="F75" s="8">
        <f>IF(B75="买入",IF(G76&lt;=0,(C75*D75+E75)/C75,(F76*G76+C75*D75+E75)/(G76+C75)),IF(B75="卖出",IF(G76-C75&lt;=0,F76,(F76*G76-C75*D75+E75)/(G76-C75)),""))</f>
        <v/>
      </c>
      <c r="G75" s="8">
        <f>IF(B75="买入",G76+C75,IF(B75="卖出",MAX(0,G76-C75),""))</f>
        <v/>
      </c>
      <c r="H75">
        <f>IF(B75="",H76,IF(B75="买入",H76,IF(B75="卖出",IF(G75=0,0,H76+(D75-F75)*C75-E75),H76)))</f>
        <v/>
      </c>
    </row>
    <row r="76">
      <c r="A76" s="6" t="n"/>
      <c r="B76" s="7" t="n"/>
      <c r="C76" s="7" t="n"/>
      <c r="D76" s="7" t="n"/>
      <c r="E76" s="7" t="n"/>
      <c r="F76" s="8">
        <f>IF(B76="买入",IF(G77&lt;=0,(C76*D76+E76)/C76,(F77*G77+C76*D76+E76)/(G77+C76)),IF(B76="卖出",IF(G77-C76&lt;=0,F77,(F77*G77-C76*D76+E76)/(G77-C76)),""))</f>
        <v/>
      </c>
      <c r="G76" s="8">
        <f>IF(B76="买入",G77+C76,IF(B76="卖出",MAX(0,G77-C76),""))</f>
        <v/>
      </c>
      <c r="H76">
        <f>IF(B76="",H77,IF(B76="买入",H77,IF(B76="卖出",IF(G76=0,0,H77+(D76-F76)*C76-E76),H77)))</f>
        <v/>
      </c>
    </row>
    <row r="77">
      <c r="A77" s="6" t="n"/>
      <c r="B77" s="7" t="n"/>
      <c r="C77" s="7" t="n"/>
      <c r="D77" s="7" t="n"/>
      <c r="E77" s="7" t="n"/>
      <c r="F77" s="8">
        <f>IF(B77="买入",IF(G78&lt;=0,(C77*D77+E77)/C77,(F78*G78+C77*D77+E77)/(G78+C77)),IF(B77="卖出",IF(G78-C77&lt;=0,F78,(F78*G78-C77*D77+E77)/(G78-C77)),""))</f>
        <v/>
      </c>
      <c r="G77" s="8">
        <f>IF(B77="买入",G78+C77,IF(B77="卖出",MAX(0,G78-C77),""))</f>
        <v/>
      </c>
      <c r="H77">
        <f>IF(B77="",H78,IF(B77="买入",H78,IF(B77="卖出",IF(G77=0,0,H78+(D77-F77)*C77-E77),H78)))</f>
        <v/>
      </c>
    </row>
    <row r="78">
      <c r="A78" s="6" t="n"/>
      <c r="B78" s="7" t="n"/>
      <c r="C78" s="7" t="n"/>
      <c r="D78" s="7" t="n"/>
      <c r="E78" s="7" t="n"/>
      <c r="F78" s="8">
        <f>IF(B78="买入",IF(G79&lt;=0,(C78*D78+E78)/C78,(F79*G79+C78*D78+E78)/(G79+C78)),IF(B78="卖出",IF(G79-C78&lt;=0,F79,(F79*G79-C78*D78+E78)/(G79-C78)),""))</f>
        <v/>
      </c>
      <c r="G78" s="8">
        <f>IF(B78="买入",G79+C78,IF(B78="卖出",MAX(0,G79-C78),""))</f>
        <v/>
      </c>
      <c r="H78">
        <f>IF(B78="",H79,IF(B78="买入",H79,IF(B78="卖出",IF(G78=0,0,H79+(D78-F78)*C78-E78),H79)))</f>
        <v/>
      </c>
    </row>
    <row r="79">
      <c r="A79" s="6" t="n"/>
      <c r="B79" s="7" t="n"/>
      <c r="C79" s="7" t="n"/>
      <c r="D79" s="7" t="n"/>
      <c r="E79" s="7" t="n"/>
      <c r="F79" s="8">
        <f>IF(B79="买入",IF(G80&lt;=0,(C79*D79+E79)/C79,(F80*G80+C79*D79+E79)/(G80+C79)),IF(B79="卖出",IF(G80-C79&lt;=0,F80,(F80*G80-C79*D79+E79)/(G80-C79)),""))</f>
        <v/>
      </c>
      <c r="G79" s="8">
        <f>IF(B79="买入",G80+C79,IF(B79="卖出",MAX(0,G80-C79),""))</f>
        <v/>
      </c>
      <c r="H79">
        <f>IF(B79="",H80,IF(B79="买入",H80,IF(B79="卖出",IF(G79=0,0,H80+(D79-F79)*C79-E79),H80)))</f>
        <v/>
      </c>
    </row>
    <row r="80">
      <c r="A80" s="6" t="n"/>
      <c r="B80" s="7" t="n"/>
      <c r="C80" s="7" t="n"/>
      <c r="D80" s="7" t="n"/>
      <c r="E80" s="7" t="n"/>
      <c r="F80" s="8">
        <f>IF(B80="买入",IF(G81&lt;=0,(C80*D80+E80)/C80,(F81*G81+C80*D80+E80)/(G81+C80)),IF(B80="卖出",IF(G81-C80&lt;=0,F81,(F81*G81-C80*D80+E80)/(G81-C80)),""))</f>
        <v/>
      </c>
      <c r="G80" s="8">
        <f>IF(B80="买入",G81+C80,IF(B80="卖出",MAX(0,G81-C80),""))</f>
        <v/>
      </c>
      <c r="H80">
        <f>IF(B80="",H81,IF(B80="买入",H81,IF(B80="卖出",IF(G80=0,0,H81+(D80-F80)*C80-E80),H81)))</f>
        <v/>
      </c>
    </row>
    <row r="81">
      <c r="A81" s="6" t="n"/>
      <c r="B81" s="7" t="n"/>
      <c r="C81" s="7" t="n"/>
      <c r="D81" s="7" t="n"/>
      <c r="E81" s="7" t="n"/>
      <c r="F81" s="8">
        <f>IF(B81="买入",IF(G82&lt;=0,(C81*D81+E81)/C81,(F82*G82+C81*D81+E81)/(G82+C81)),IF(B81="卖出",IF(G82-C81&lt;=0,F82,(F82*G82-C81*D81+E81)/(G82-C81)),""))</f>
        <v/>
      </c>
      <c r="G81" s="8">
        <f>IF(B81="买入",G82+C81,IF(B81="卖出",MAX(0,G82-C81),""))</f>
        <v/>
      </c>
      <c r="H81">
        <f>IF(B81="",H82,IF(B81="买入",H82,IF(B81="卖出",IF(G81=0,0,H82+(D81-F81)*C81-E81),H82)))</f>
        <v/>
      </c>
    </row>
    <row r="82">
      <c r="A82" s="6" t="n"/>
      <c r="B82" s="7" t="n"/>
      <c r="C82" s="7" t="n"/>
      <c r="D82" s="7" t="n"/>
      <c r="E82" s="7" t="n"/>
      <c r="F82" s="8">
        <f>IF(B82="买入",IF(G83&lt;=0,(C82*D82+E82)/C82,(F83*G83+C82*D82+E82)/(G83+C82)),IF(B82="卖出",IF(G83-C82&lt;=0,F83,(F83*G83-C82*D82+E82)/(G83-C82)),""))</f>
        <v/>
      </c>
      <c r="G82" s="8">
        <f>IF(B82="买入",G83+C82,IF(B82="卖出",MAX(0,G83-C82),""))</f>
        <v/>
      </c>
      <c r="H82">
        <f>IF(B82="",H83,IF(B82="买入",H83,IF(B82="卖出",IF(G82=0,0,H83+(D82-F82)*C82-E82),H83)))</f>
        <v/>
      </c>
    </row>
    <row r="83">
      <c r="A83" s="6" t="n"/>
      <c r="B83" s="7" t="n"/>
      <c r="C83" s="7" t="n"/>
      <c r="D83" s="7" t="n"/>
      <c r="E83" s="7" t="n"/>
      <c r="F83" s="8">
        <f>IF(B83="买入",IF(G84&lt;=0,(C83*D83+E83)/C83,(F84*G84+C83*D83+E83)/(G84+C83)),IF(B83="卖出",IF(G84-C83&lt;=0,F84,(F84*G84-C83*D83+E83)/(G84-C83)),""))</f>
        <v/>
      </c>
      <c r="G83" s="8">
        <f>IF(B83="买入",G84+C83,IF(B83="卖出",MAX(0,G84-C83),""))</f>
        <v/>
      </c>
      <c r="H83">
        <f>IF(B83="",H84,IF(B83="买入",H84,IF(B83="卖出",IF(G83=0,0,H84+(D83-F83)*C83-E83),H84)))</f>
        <v/>
      </c>
    </row>
    <row r="84">
      <c r="A84" s="6" t="n"/>
      <c r="B84" s="7" t="n"/>
      <c r="C84" s="7" t="n"/>
      <c r="D84" s="7" t="n"/>
      <c r="E84" s="7" t="n"/>
      <c r="F84" s="8">
        <f>IF(B84="买入",IF(G85&lt;=0,(C84*D84+E84)/C84,(F85*G85+C84*D84+E84)/(G85+C84)),IF(B84="卖出",IF(G85-C84&lt;=0,F85,(F85*G85-C84*D84+E84)/(G85-C84)),""))</f>
        <v/>
      </c>
      <c r="G84" s="8">
        <f>IF(B84="买入",G85+C84,IF(B84="卖出",MAX(0,G85-C84),""))</f>
        <v/>
      </c>
      <c r="H84">
        <f>IF(B84="",H85,IF(B84="买入",H85,IF(B84="卖出",IF(G84=0,0,H85+(D84-F84)*C84-E84),H85)))</f>
        <v/>
      </c>
    </row>
    <row r="85">
      <c r="A85" s="6" t="n"/>
      <c r="B85" s="7" t="n"/>
      <c r="C85" s="7" t="n"/>
      <c r="D85" s="7" t="n"/>
      <c r="E85" s="7" t="n"/>
      <c r="F85" s="8">
        <f>IF(B85="买入",IF(G86&lt;=0,(C85*D85+E85)/C85,(F86*G86+C85*D85+E85)/(G86+C85)),IF(B85="卖出",IF(G86-C85&lt;=0,F86,(F86*G86-C85*D85+E85)/(G86-C85)),""))</f>
        <v/>
      </c>
      <c r="G85" s="8">
        <f>IF(B85="买入",G86+C85,IF(B85="卖出",MAX(0,G86-C85),""))</f>
        <v/>
      </c>
      <c r="H85">
        <f>IF(B85="",H86,IF(B85="买入",H86,IF(B85="卖出",IF(G85=0,0,H86+(D85-F85)*C85-E85),H86)))</f>
        <v/>
      </c>
    </row>
    <row r="86">
      <c r="A86" s="6" t="n"/>
      <c r="B86" s="7" t="n"/>
      <c r="C86" s="7" t="n"/>
      <c r="D86" s="7" t="n"/>
      <c r="E86" s="7" t="n"/>
      <c r="F86" s="8">
        <f>IF(B86="买入",IF(G87&lt;=0,(C86*D86+E86)/C86,(F87*G87+C86*D86+E86)/(G87+C86)),IF(B86="卖出",IF(G87-C86&lt;=0,F87,(F87*G87-C86*D86+E86)/(G87-C86)),""))</f>
        <v/>
      </c>
      <c r="G86" s="8">
        <f>IF(B86="买入",G87+C86,IF(B86="卖出",MAX(0,G87-C86),""))</f>
        <v/>
      </c>
      <c r="H86">
        <f>IF(B86="",H87,IF(B86="买入",H87,IF(B86="卖出",IF(G86=0,0,H87+(D86-F86)*C86-E86),H87)))</f>
        <v/>
      </c>
    </row>
    <row r="87">
      <c r="A87" s="6" t="n"/>
      <c r="B87" s="7" t="n"/>
      <c r="C87" s="7" t="n"/>
      <c r="D87" s="7" t="n"/>
      <c r="E87" s="7" t="n"/>
      <c r="F87" s="8">
        <f>IF(B87="买入",IF(G88&lt;=0,(C87*D87+E87)/C87,(F88*G88+C87*D87+E87)/(G88+C87)),IF(B87="卖出",IF(G88-C87&lt;=0,F88,(F88*G88-C87*D87+E87)/(G88-C87)),""))</f>
        <v/>
      </c>
      <c r="G87" s="8">
        <f>IF(B87="买入",G88+C87,IF(B87="卖出",MAX(0,G88-C87),""))</f>
        <v/>
      </c>
      <c r="H87">
        <f>IF(B87="",H88,IF(B87="买入",H88,IF(B87="卖出",IF(G87=0,0,H88+(D87-F87)*C87-E87),H88)))</f>
        <v/>
      </c>
    </row>
    <row r="88">
      <c r="A88" s="6" t="n"/>
      <c r="B88" s="7" t="n"/>
      <c r="C88" s="7" t="n"/>
      <c r="D88" s="7" t="n"/>
      <c r="E88" s="7" t="n"/>
      <c r="F88" s="8">
        <f>IF(B88="买入",IF(G89&lt;=0,(C88*D88+E88)/C88,(F89*G89+C88*D88+E88)/(G89+C88)),IF(B88="卖出",IF(G89-C88&lt;=0,F89,(F89*G89-C88*D88+E88)/(G89-C88)),""))</f>
        <v/>
      </c>
      <c r="G88" s="8">
        <f>IF(B88="买入",G89+C88,IF(B88="卖出",MAX(0,G89-C88),""))</f>
        <v/>
      </c>
      <c r="H88">
        <f>IF(B88="",H89,IF(B88="买入",H89,IF(B88="卖出",IF(G88=0,0,H89+(D88-F88)*C88-E88),H89)))</f>
        <v/>
      </c>
    </row>
    <row r="89">
      <c r="A89" s="6" t="n"/>
      <c r="B89" s="7" t="n"/>
      <c r="C89" s="7" t="n"/>
      <c r="D89" s="7" t="n"/>
      <c r="E89" s="7" t="n"/>
      <c r="F89" s="8">
        <f>IF(B89="买入",IF(G90&lt;=0,(C89*D89+E89)/C89,(F90*G90+C89*D89+E89)/(G90+C89)),IF(B89="卖出",IF(G90-C89&lt;=0,F90,(F90*G90-C89*D89+E89)/(G90-C89)),""))</f>
        <v/>
      </c>
      <c r="G89" s="8">
        <f>IF(B89="买入",G90+C89,IF(B89="卖出",MAX(0,G90-C89),""))</f>
        <v/>
      </c>
      <c r="H89">
        <f>IF(B89="",H90,IF(B89="买入",H90,IF(B89="卖出",IF(G89=0,0,H90+(D89-F89)*C89-E89),H90)))</f>
        <v/>
      </c>
    </row>
    <row r="90">
      <c r="A90" s="6" t="n"/>
      <c r="B90" s="7" t="n"/>
      <c r="C90" s="7" t="n"/>
      <c r="D90" s="7" t="n"/>
      <c r="E90" s="7" t="n"/>
      <c r="F90" s="8">
        <f>IF(B90="买入",IF(G91&lt;=0,(C90*D90+E90)/C90,(F91*G91+C90*D90+E90)/(G91+C90)),IF(B90="卖出",IF(G91-C90&lt;=0,F91,(F91*G91-C90*D90+E90)/(G91-C90)),""))</f>
        <v/>
      </c>
      <c r="G90" s="8">
        <f>IF(B90="买入",G91+C90,IF(B90="卖出",MAX(0,G91-C90),""))</f>
        <v/>
      </c>
      <c r="H90">
        <f>IF(B90="",H91,IF(B90="买入",H91,IF(B90="卖出",IF(G90=0,0,H91+(D90-F90)*C90-E90),H91)))</f>
        <v/>
      </c>
    </row>
    <row r="91">
      <c r="A91" s="6" t="n"/>
      <c r="B91" s="7" t="n"/>
      <c r="C91" s="7" t="n"/>
      <c r="D91" s="7" t="n"/>
      <c r="E91" s="7" t="n"/>
      <c r="F91" s="8">
        <f>IF(B91="买入",IF(G92&lt;=0,(C91*D91+E91)/C91,(F92*G92+C91*D91+E91)/(G92+C91)),IF(B91="卖出",IF(G92-C91&lt;=0,F92,(F92*G92-C91*D91+E91)/(G92-C91)),""))</f>
        <v/>
      </c>
      <c r="G91" s="8">
        <f>IF(B91="买入",G92+C91,IF(B91="卖出",MAX(0,G92-C91),""))</f>
        <v/>
      </c>
      <c r="H91">
        <f>IF(B91="",H92,IF(B91="买入",H92,IF(B91="卖出",IF(G91=0,0,H92+(D91-F91)*C91-E91),H92)))</f>
        <v/>
      </c>
    </row>
    <row r="92">
      <c r="A92" s="6" t="n"/>
      <c r="B92" s="7" t="n"/>
      <c r="C92" s="7" t="n"/>
      <c r="D92" s="7" t="n"/>
      <c r="E92" s="7" t="n"/>
      <c r="F92" s="8">
        <f>IF(B92="买入",IF(G93&lt;=0,(C92*D92+E92)/C92,(F93*G93+C92*D92+E92)/(G93+C92)),IF(B92="卖出",IF(G93-C92&lt;=0,F93,(F93*G93-C92*D92+E92)/(G93-C92)),""))</f>
        <v/>
      </c>
      <c r="G92" s="8">
        <f>IF(B92="买入",G93+C92,IF(B92="卖出",MAX(0,G93-C92),""))</f>
        <v/>
      </c>
      <c r="H92">
        <f>IF(B92="",H93,IF(B92="买入",H93,IF(B92="卖出",IF(G92=0,0,H93+(D92-F92)*C92-E92),H93)))</f>
        <v/>
      </c>
    </row>
    <row r="93">
      <c r="A93" s="6" t="n"/>
      <c r="B93" s="7" t="n"/>
      <c r="C93" s="7" t="n"/>
      <c r="D93" s="7" t="n"/>
      <c r="E93" s="7" t="n"/>
      <c r="F93" s="8">
        <f>IF(B93="买入",IF(G94&lt;=0,(C93*D93+E93)/C93,(F94*G94+C93*D93+E93)/(G94+C93)),IF(B93="卖出",IF(G94-C93&lt;=0,F94,(F94*G94-C93*D93+E93)/(G94-C93)),""))</f>
        <v/>
      </c>
      <c r="G93" s="8">
        <f>IF(B93="买入",G94+C93,IF(B93="卖出",MAX(0,G94-C93),""))</f>
        <v/>
      </c>
      <c r="H93">
        <f>IF(B93="",H94,IF(B93="买入",H94,IF(B93="卖出",IF(G93=0,0,H94+(D93-F93)*C93-E93),H94)))</f>
        <v/>
      </c>
    </row>
    <row r="94">
      <c r="A94" s="6" t="n"/>
      <c r="B94" s="7" t="n"/>
      <c r="C94" s="7" t="n"/>
      <c r="D94" s="7" t="n"/>
      <c r="E94" s="7" t="n"/>
      <c r="F94" s="8">
        <f>IF(B94="买入",IF(G95&lt;=0,(C94*D94+E94)/C94,(F95*G95+C94*D94+E94)/(G95+C94)),IF(B94="卖出",IF(G95-C94&lt;=0,F95,(F95*G95-C94*D94+E94)/(G95-C94)),""))</f>
        <v/>
      </c>
      <c r="G94" s="8">
        <f>IF(B94="买入",G95+C94,IF(B94="卖出",MAX(0,G95-C94),""))</f>
        <v/>
      </c>
      <c r="H94">
        <f>IF(B94="",H95,IF(B94="买入",H95,IF(B94="卖出",IF(G94=0,0,H95+(D94-F94)*C94-E94),H95)))</f>
        <v/>
      </c>
    </row>
    <row r="95">
      <c r="A95" s="6" t="n"/>
      <c r="B95" s="7" t="n"/>
      <c r="C95" s="7" t="n"/>
      <c r="D95" s="7" t="n"/>
      <c r="E95" s="7" t="n"/>
      <c r="F95" s="8">
        <f>IF(B95="买入",IF(G96&lt;=0,(C95*D95+E95)/C95,(F96*G96+C95*D95+E95)/(G96+C95)),IF(B95="卖出",IF(G96-C95&lt;=0,F96,(F96*G96-C95*D95+E95)/(G96-C95)),""))</f>
        <v/>
      </c>
      <c r="G95" s="8">
        <f>IF(B95="买入",G96+C95,IF(B95="卖出",MAX(0,G96-C95),""))</f>
        <v/>
      </c>
      <c r="H95">
        <f>IF(B95="",H96,IF(B95="买入",H96,IF(B95="卖出",IF(G95=0,0,H96+(D95-F95)*C95-E95),H96)))</f>
        <v/>
      </c>
    </row>
    <row r="96">
      <c r="A96" s="6" t="n"/>
      <c r="B96" s="7" t="n"/>
      <c r="C96" s="7" t="n"/>
      <c r="D96" s="7" t="n"/>
      <c r="E96" s="7" t="n"/>
      <c r="F96" s="8">
        <f>IF(B96="买入",IF(G97&lt;=0,(C96*D96+E96)/C96,(F97*G97+C96*D96+E96)/(G97+C96)),IF(B96="卖出",IF(G97-C96&lt;=0,F97,(F97*G97-C96*D96+E96)/(G97-C96)),""))</f>
        <v/>
      </c>
      <c r="G96" s="8">
        <f>IF(B96="买入",G97+C96,IF(B96="卖出",MAX(0,G97-C96),""))</f>
        <v/>
      </c>
      <c r="H96">
        <f>IF(B96="",H97,IF(B96="买入",H97,IF(B96="卖出",IF(G96=0,0,H97+(D96-F96)*C96-E96),H97)))</f>
        <v/>
      </c>
    </row>
    <row r="97">
      <c r="A97" s="6" t="n"/>
      <c r="B97" s="7" t="n"/>
      <c r="C97" s="7" t="n"/>
      <c r="D97" s="7" t="n"/>
      <c r="E97" s="7" t="n"/>
      <c r="F97" s="8">
        <f>IF(B97="买入",IF(G98&lt;=0,(C97*D97+E97)/C97,(F98*G98+C97*D97+E97)/(G98+C97)),IF(B97="卖出",IF(G98-C97&lt;=0,F98,(F98*G98-C97*D97+E97)/(G98-C97)),""))</f>
        <v/>
      </c>
      <c r="G97" s="8">
        <f>IF(B97="买入",G98+C97,IF(B97="卖出",MAX(0,G98-C97),""))</f>
        <v/>
      </c>
      <c r="H97">
        <f>IF(B97="",H98,IF(B97="买入",H98,IF(B97="卖出",IF(G97=0,0,H98+(D97-F97)*C97-E97),H98)))</f>
        <v/>
      </c>
    </row>
    <row r="98">
      <c r="A98" s="6" t="n"/>
      <c r="B98" s="7" t="n"/>
      <c r="C98" s="7" t="n"/>
      <c r="D98" s="7" t="n"/>
      <c r="E98" s="7" t="n"/>
      <c r="F98" s="8">
        <f>IF(B98="买入",IF(G99&lt;=0,(C98*D98+E98)/C98,(F99*G99+C98*D98+E98)/(G99+C98)),IF(B98="卖出",IF(G99-C98&lt;=0,F99,(F99*G99-C98*D98+E98)/(G99-C98)),""))</f>
        <v/>
      </c>
      <c r="G98" s="8">
        <f>IF(B98="买入",G99+C98,IF(B98="卖出",MAX(0,G99-C98),""))</f>
        <v/>
      </c>
      <c r="H98">
        <f>IF(B98="",H99,IF(B98="买入",H99,IF(B98="卖出",IF(G98=0,0,H99+(D98-F98)*C98-E98),H99)))</f>
        <v/>
      </c>
    </row>
    <row r="99">
      <c r="A99" s="6" t="n"/>
      <c r="B99" s="7" t="n"/>
      <c r="C99" s="7" t="n"/>
      <c r="D99" s="7" t="n"/>
      <c r="E99" s="7" t="n"/>
      <c r="F99" s="8">
        <f>IF(B99="买入",IF(G100&lt;=0,(C99*D99+E99)/C99,(F100*G100+C99*D99+E99)/(G100+C99)),IF(B99="卖出",IF(G100-C99&lt;=0,F100,(F100*G100-C99*D99+E99)/(G100-C99)),""))</f>
        <v/>
      </c>
      <c r="G99" s="8">
        <f>IF(B99="买入",G100+C99,IF(B99="卖出",MAX(0,G100-C99),""))</f>
        <v/>
      </c>
      <c r="H99">
        <f>IF(B99="",H100,IF(B99="买入",H100,IF(B99="卖出",IF(G99=0,0,H100+(D99-F99)*C99-E99),H100)))</f>
        <v/>
      </c>
    </row>
    <row r="100">
      <c r="A100" s="6" t="n"/>
      <c r="B100" s="7" t="n"/>
      <c r="C100" s="7" t="n"/>
      <c r="D100" s="7" t="n"/>
      <c r="E100" s="7" t="n"/>
      <c r="F100" s="8">
        <f>IF(B100="买入",IF(G101&lt;=0,(C100*D100+E100)/C100,(F101*G101+C100*D100+E100)/(G101+C100)),IF(B100="卖出",IF(G101-C100&lt;=0,F101,(F101*G101-C100*D100+E100)/(G101-C100)),""))</f>
        <v/>
      </c>
      <c r="G100" s="8">
        <f>IF(B100="买入",G101+C100,IF(B100="卖出",MAX(0,G101-C100),""))</f>
        <v/>
      </c>
      <c r="H100">
        <f>IF(B100="",H101,IF(B100="买入",H101,IF(B100="卖出",IF(G100=0,0,H101+(D100-F100)*C100-E100),H101)))</f>
        <v/>
      </c>
    </row>
    <row r="101">
      <c r="A101" s="6" t="n"/>
      <c r="B101" s="7" t="n"/>
      <c r="C101" s="7" t="n"/>
      <c r="D101" s="7" t="n"/>
      <c r="E101" s="7" t="n"/>
      <c r="F101" s="8">
        <f>IF(B101="买入",IF(G102&lt;=0,(C101*D101+E101)/C101,(F102*G102+C101*D101+E101)/(G102+C101)),IF(B101="卖出",IF(G102-C101&lt;=0,F102,(F102*G102-C101*D101+E101)/(G102-C101)),""))</f>
        <v/>
      </c>
      <c r="G101" s="8">
        <f>IF(B101="买入",G102+C101,IF(B101="卖出",MAX(0,G102-C101),""))</f>
        <v/>
      </c>
      <c r="H101">
        <f>IF(B101="",0,IF(B101="买入",0,IF(B101="卖出",IF(G101=0,0,(D101-F101)*C101-E101),0)))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5">
    <mergeCell ref="A1:G1"/>
    <mergeCell ref="A3:G3"/>
    <mergeCell ref="A4:G4"/>
    <mergeCell ref="A2:G2"/>
    <mergeCell ref="A5:G5"/>
  </mergeCells>
  <conditionalFormatting sqref="A7:G101">
    <cfRule type="expression" priority="1" dxfId="0">
      <formula>COUNTA($A7:$E7)&gt;0</formula>
    </cfRule>
  </conditionalFormatting>
  <conditionalFormatting sqref="B7:B101">
    <cfRule type="expression" priority="2" dxfId="1">
      <formula>B7="买入"</formula>
    </cfRule>
    <cfRule type="expression" priority="3" dxfId="2">
      <formula>B7="卖出"</formula>
    </cfRule>
  </conditionalFormatting>
  <dataValidations count="1">
    <dataValidation sqref="B7:B101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hidden="1" width="13" customWidth="1" min="8" max="8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🟢 买入成本 = (原成本×原股数 + 买入金额 + 手续费) ÷ (原股数 + 买入股数)  |  🔴 卖出时成本不变，清仓后重新买入按新买入价计算</t>
        </is>
      </c>
    </row>
    <row r="4" ht="12" customHeight="1">
      <c r="A4" s="2" t="inlineStr">
        <is>
          <t>--------------------------------------------------------------------------------</t>
        </is>
      </c>
    </row>
    <row r="5" ht="22" customHeight="1">
      <c r="A5" s="4">
        <f>IF(COUNTA(B7:B101)=0,"","⚖️ 盈亏平衡点: $"&amp;TEXT(F7-IFERROR(H7/G7,0),"#,##0.00")&amp;"  (差价: $"&amp;TEXT(-IFERROR(H7/G7,0),"#,##0.00")&amp;")")</f>
        <v/>
      </c>
    </row>
    <row r="6" ht="22" customHeight="1">
      <c r="A6" s="5" t="inlineStr">
        <is>
          <t>日期</t>
        </is>
      </c>
      <c r="B6" s="5" t="inlineStr">
        <is>
          <t>操作</t>
        </is>
      </c>
      <c r="C6" s="5" t="inlineStr">
        <is>
          <t>数量</t>
        </is>
      </c>
      <c r="D6" s="5" t="inlineStr">
        <is>
          <t>价格</t>
        </is>
      </c>
      <c r="E6" s="5" t="inlineStr">
        <is>
          <t>手续费</t>
        </is>
      </c>
      <c r="F6" s="5" t="inlineStr">
        <is>
          <t>持仓成本</t>
        </is>
      </c>
      <c r="G6" s="5" t="inlineStr">
        <is>
          <t>累计持仓</t>
        </is>
      </c>
    </row>
    <row r="7">
      <c r="A7" s="6" t="inlineStr">
        <is>
          <t>2026-05-06</t>
        </is>
      </c>
      <c r="B7" s="7" t="inlineStr">
        <is>
          <t>买入</t>
        </is>
      </c>
      <c r="C7" s="7" t="n">
        <v>20</v>
      </c>
      <c r="D7" s="7" t="n">
        <v>48.8</v>
      </c>
      <c r="E7" s="7" t="n">
        <v>0</v>
      </c>
      <c r="F7" s="8">
        <f>IF(B7="买入",(C7*D7+E7)/C7,"")</f>
        <v/>
      </c>
      <c r="G7" s="8">
        <f>IF(B7="买入",C7,IF(B7="卖出",-C7,""))</f>
        <v/>
      </c>
      <c r="H7">
        <f>IF(B7="买入",0,IF(B7="卖出",IF(G7=0,0,(D7-F7)*C7-E7),0))</f>
        <v/>
      </c>
    </row>
    <row r="8">
      <c r="A8" s="6" t="n"/>
      <c r="B8" s="7" t="n"/>
      <c r="C8" s="7" t="n"/>
      <c r="D8" s="7" t="n"/>
      <c r="E8" s="7" t="n"/>
      <c r="F8" s="8">
        <f>IF(B8="买入",IF(G9&lt;=0,(C8*D8+E8)/C8,(F9*G9+C8*D8+E8)/(G9+C8)),IF(B8="卖出",IF(G9-C8&lt;=0,F9,(F9*G9-C8*D8+E8)/(G9-C8)),""))</f>
        <v/>
      </c>
      <c r="G8" s="8">
        <f>IF(B8="买入",G9+C8,IF(B8="卖出",MAX(0,G9-C8),""))</f>
        <v/>
      </c>
      <c r="H8">
        <f>IF(B8="",H9,IF(B8="买入",H9,IF(B8="卖出",IF(G8=0,0,H9+(D8-F8)*C8-E8),H9)))</f>
        <v/>
      </c>
    </row>
    <row r="9">
      <c r="A9" s="6" t="n"/>
      <c r="B9" s="7" t="n"/>
      <c r="C9" s="7" t="n"/>
      <c r="D9" s="7" t="n"/>
      <c r="E9" s="7" t="n"/>
      <c r="F9" s="8">
        <f>IF(B9="买入",IF(G10&lt;=0,(C9*D9+E9)/C9,(F10*G10+C9*D9+E9)/(G10+C9)),IF(B9="卖出",IF(G10-C9&lt;=0,F10,(F10*G10-C9*D9+E9)/(G10-C9)),""))</f>
        <v/>
      </c>
      <c r="G9" s="8">
        <f>IF(B9="买入",G10+C9,IF(B9="卖出",MAX(0,G10-C9),""))</f>
        <v/>
      </c>
      <c r="H9">
        <f>IF(B9="",H10,IF(B9="买入",H10,IF(B9="卖出",IF(G9=0,0,H10+(D9-F9)*C9-E9),H10)))</f>
        <v/>
      </c>
    </row>
    <row r="10">
      <c r="A10" s="6" t="n"/>
      <c r="B10" s="7" t="n"/>
      <c r="C10" s="7" t="n"/>
      <c r="D10" s="7" t="n"/>
      <c r="E10" s="7" t="n"/>
      <c r="F10" s="8">
        <f>IF(B10="买入",IF(G11&lt;=0,(C10*D10+E10)/C10,(F11*G11+C10*D10+E10)/(G11+C10)),IF(B10="卖出",IF(G11-C10&lt;=0,F11,(F11*G11-C10*D10+E10)/(G11-C10)),""))</f>
        <v/>
      </c>
      <c r="G10" s="8">
        <f>IF(B10="买入",G11+C10,IF(B10="卖出",MAX(0,G11-C10),""))</f>
        <v/>
      </c>
      <c r="H10">
        <f>IF(B10="",H11,IF(B10="买入",H11,IF(B10="卖出",IF(G10=0,0,H11+(D10-F10)*C10-E10),H11)))</f>
        <v/>
      </c>
    </row>
    <row r="11">
      <c r="A11" s="6" t="n"/>
      <c r="B11" s="7" t="n"/>
      <c r="C11" s="7" t="n"/>
      <c r="D11" s="7" t="n"/>
      <c r="E11" s="7" t="n"/>
      <c r="F11" s="8">
        <f>IF(B11="买入",IF(G12&lt;=0,(C11*D11+E11)/C11,(F12*G12+C11*D11+E11)/(G12+C11)),IF(B11="卖出",IF(G12-C11&lt;=0,F12,(F12*G12-C11*D11+E11)/(G12-C11)),""))</f>
        <v/>
      </c>
      <c r="G11" s="8">
        <f>IF(B11="买入",G12+C11,IF(B11="卖出",MAX(0,G12-C11),""))</f>
        <v/>
      </c>
      <c r="H11">
        <f>IF(B11="",H12,IF(B11="买入",H12,IF(B11="卖出",IF(G11=0,0,H12+(D11-F11)*C11-E11),H12)))</f>
        <v/>
      </c>
    </row>
    <row r="12">
      <c r="A12" s="6" t="n"/>
      <c r="B12" s="7" t="n"/>
      <c r="C12" s="7" t="n"/>
      <c r="D12" s="7" t="n"/>
      <c r="E12" s="7" t="n"/>
      <c r="F12" s="8">
        <f>IF(B12="买入",IF(G13&lt;=0,(C12*D12+E12)/C12,(F13*G13+C12*D12+E12)/(G13+C12)),IF(B12="卖出",IF(G13-C12&lt;=0,F13,(F13*G13-C12*D12+E12)/(G13-C12)),""))</f>
        <v/>
      </c>
      <c r="G12" s="8">
        <f>IF(B12="买入",G13+C12,IF(B12="卖出",MAX(0,G13-C12),""))</f>
        <v/>
      </c>
      <c r="H12">
        <f>IF(B12="",H13,IF(B12="买入",H13,IF(B12="卖出",IF(G12=0,0,H13+(D12-F12)*C12-E12),H13)))</f>
        <v/>
      </c>
    </row>
    <row r="13">
      <c r="A13" s="6" t="n"/>
      <c r="B13" s="7" t="n"/>
      <c r="C13" s="7" t="n"/>
      <c r="D13" s="7" t="n"/>
      <c r="E13" s="7" t="n"/>
      <c r="F13" s="8">
        <f>IF(B13="买入",IF(G14&lt;=0,(C13*D13+E13)/C13,(F14*G14+C13*D13+E13)/(G14+C13)),IF(B13="卖出",IF(G14-C13&lt;=0,F14,(F14*G14-C13*D13+E13)/(G14-C13)),""))</f>
        <v/>
      </c>
      <c r="G13" s="8">
        <f>IF(B13="买入",G14+C13,IF(B13="卖出",MAX(0,G14-C13),""))</f>
        <v/>
      </c>
      <c r="H13">
        <f>IF(B13="",H14,IF(B13="买入",H14,IF(B13="卖出",IF(G13=0,0,H14+(D13-F13)*C13-E13),H14)))</f>
        <v/>
      </c>
    </row>
    <row r="14">
      <c r="A14" s="6" t="n"/>
      <c r="B14" s="7" t="n"/>
      <c r="C14" s="7" t="n"/>
      <c r="D14" s="7" t="n"/>
      <c r="E14" s="7" t="n"/>
      <c r="F14" s="8">
        <f>IF(B14="买入",IF(G15&lt;=0,(C14*D14+E14)/C14,(F15*G15+C14*D14+E14)/(G15+C14)),IF(B14="卖出",IF(G15-C14&lt;=0,F15,(F15*G15-C14*D14+E14)/(G15-C14)),""))</f>
        <v/>
      </c>
      <c r="G14" s="8">
        <f>IF(B14="买入",G15+C14,IF(B14="卖出",MAX(0,G15-C14),""))</f>
        <v/>
      </c>
      <c r="H14">
        <f>IF(B14="",H15,IF(B14="买入",H15,IF(B14="卖出",IF(G14=0,0,H15+(D14-F14)*C14-E14),H15)))</f>
        <v/>
      </c>
    </row>
    <row r="15">
      <c r="A15" s="6" t="n"/>
      <c r="B15" s="7" t="n"/>
      <c r="C15" s="7" t="n"/>
      <c r="D15" s="7" t="n"/>
      <c r="E15" s="7" t="n"/>
      <c r="F15" s="8">
        <f>IF(B15="买入",IF(G16&lt;=0,(C15*D15+E15)/C15,(F16*G16+C15*D15+E15)/(G16+C15)),IF(B15="卖出",IF(G16-C15&lt;=0,F16,(F16*G16-C15*D15+E15)/(G16-C15)),""))</f>
        <v/>
      </c>
      <c r="G15" s="8">
        <f>IF(B15="买入",G16+C15,IF(B15="卖出",MAX(0,G16-C15),""))</f>
        <v/>
      </c>
      <c r="H15">
        <f>IF(B15="",H16,IF(B15="买入",H16,IF(B15="卖出",IF(G15=0,0,H16+(D15-F15)*C15-E15),H16)))</f>
        <v/>
      </c>
    </row>
    <row r="16">
      <c r="A16" s="6" t="n"/>
      <c r="B16" s="7" t="n"/>
      <c r="C16" s="7" t="n"/>
      <c r="D16" s="7" t="n"/>
      <c r="E16" s="7" t="n"/>
      <c r="F16" s="8">
        <f>IF(B16="买入",IF(G17&lt;=0,(C16*D16+E16)/C16,(F17*G17+C16*D16+E16)/(G17+C16)),IF(B16="卖出",IF(G17-C16&lt;=0,F17,(F17*G17-C16*D16+E16)/(G17-C16)),""))</f>
        <v/>
      </c>
      <c r="G16" s="8">
        <f>IF(B16="买入",G17+C16,IF(B16="卖出",MAX(0,G17-C16),""))</f>
        <v/>
      </c>
      <c r="H16">
        <f>IF(B16="",H17,IF(B16="买入",H17,IF(B16="卖出",IF(G16=0,0,H17+(D16-F16)*C16-E16),H17)))</f>
        <v/>
      </c>
    </row>
    <row r="17">
      <c r="A17" s="6" t="n"/>
      <c r="B17" s="7" t="n"/>
      <c r="C17" s="7" t="n"/>
      <c r="D17" s="7" t="n"/>
      <c r="E17" s="7" t="n"/>
      <c r="F17" s="8">
        <f>IF(B17="买入",IF(G18&lt;=0,(C17*D17+E17)/C17,(F18*G18+C17*D17+E17)/(G18+C17)),IF(B17="卖出",IF(G18-C17&lt;=0,F18,(F18*G18-C17*D17+E17)/(G18-C17)),""))</f>
        <v/>
      </c>
      <c r="G17" s="8">
        <f>IF(B17="买入",G18+C17,IF(B17="卖出",MAX(0,G18-C17),""))</f>
        <v/>
      </c>
      <c r="H17">
        <f>IF(B17="",H18,IF(B17="买入",H18,IF(B17="卖出",IF(G17=0,0,H18+(D17-F17)*C17-E17),H18)))</f>
        <v/>
      </c>
    </row>
    <row r="18">
      <c r="A18" s="6" t="n"/>
      <c r="B18" s="7" t="n"/>
      <c r="C18" s="7" t="n"/>
      <c r="D18" s="7" t="n"/>
      <c r="E18" s="7" t="n"/>
      <c r="F18" s="8">
        <f>IF(B18="买入",IF(G19&lt;=0,(C18*D18+E18)/C18,(F19*G19+C18*D18+E18)/(G19+C18)),IF(B18="卖出",IF(G19-C18&lt;=0,F19,(F19*G19-C18*D18+E18)/(G19-C18)),""))</f>
        <v/>
      </c>
      <c r="G18" s="8">
        <f>IF(B18="买入",G19+C18,IF(B18="卖出",MAX(0,G19-C18),""))</f>
        <v/>
      </c>
      <c r="H18">
        <f>IF(B18="",H19,IF(B18="买入",H19,IF(B18="卖出",IF(G18=0,0,H19+(D18-F18)*C18-E18),H19)))</f>
        <v/>
      </c>
    </row>
    <row r="19">
      <c r="A19" s="6" t="n"/>
      <c r="B19" s="7" t="n"/>
      <c r="C19" s="7" t="n"/>
      <c r="D19" s="7" t="n"/>
      <c r="E19" s="7" t="n"/>
      <c r="F19" s="8">
        <f>IF(B19="买入",IF(G20&lt;=0,(C19*D19+E19)/C19,(F20*G20+C19*D19+E19)/(G20+C19)),IF(B19="卖出",IF(G20-C19&lt;=0,F20,(F20*G20-C19*D19+E19)/(G20-C19)),""))</f>
        <v/>
      </c>
      <c r="G19" s="8">
        <f>IF(B19="买入",G20+C19,IF(B19="卖出",MAX(0,G20-C19),""))</f>
        <v/>
      </c>
      <c r="H19">
        <f>IF(B19="",H20,IF(B19="买入",H20,IF(B19="卖出",IF(G19=0,0,H20+(D19-F19)*C19-E19),H20)))</f>
        <v/>
      </c>
    </row>
    <row r="20">
      <c r="A20" s="6" t="n"/>
      <c r="B20" s="7" t="n"/>
      <c r="C20" s="7" t="n"/>
      <c r="D20" s="7" t="n"/>
      <c r="E20" s="7" t="n"/>
      <c r="F20" s="8">
        <f>IF(B20="买入",IF(G21&lt;=0,(C20*D20+E20)/C20,(F21*G21+C20*D20+E20)/(G21+C20)),IF(B20="卖出",IF(G21-C20&lt;=0,F21,(F21*G21-C20*D20+E20)/(G21-C20)),""))</f>
        <v/>
      </c>
      <c r="G20" s="8">
        <f>IF(B20="买入",G21+C20,IF(B20="卖出",MAX(0,G21-C20),""))</f>
        <v/>
      </c>
      <c r="H20">
        <f>IF(B20="",H21,IF(B20="买入",H21,IF(B20="卖出",IF(G20=0,0,H21+(D20-F20)*C20-E20),H21)))</f>
        <v/>
      </c>
    </row>
    <row r="21">
      <c r="A21" s="6" t="n"/>
      <c r="B21" s="7" t="n"/>
      <c r="C21" s="7" t="n"/>
      <c r="D21" s="7" t="n"/>
      <c r="E21" s="7" t="n"/>
      <c r="F21" s="8">
        <f>IF(B21="买入",IF(G22&lt;=0,(C21*D21+E21)/C21,(F22*G22+C21*D21+E21)/(G22+C21)),IF(B21="卖出",IF(G22-C21&lt;=0,F22,(F22*G22-C21*D21+E21)/(G22-C21)),""))</f>
        <v/>
      </c>
      <c r="G21" s="8">
        <f>IF(B21="买入",G22+C21,IF(B21="卖出",MAX(0,G22-C21),""))</f>
        <v/>
      </c>
      <c r="H21">
        <f>IF(B21="",H22,IF(B21="买入",H22,IF(B21="卖出",IF(G21=0,0,H22+(D21-F21)*C21-E21),H22)))</f>
        <v/>
      </c>
    </row>
    <row r="22">
      <c r="A22" s="6" t="n"/>
      <c r="B22" s="7" t="n"/>
      <c r="C22" s="7" t="n"/>
      <c r="D22" s="7" t="n"/>
      <c r="E22" s="7" t="n"/>
      <c r="F22" s="8">
        <f>IF(B22="买入",IF(G23&lt;=0,(C22*D22+E22)/C22,(F23*G23+C22*D22+E22)/(G23+C22)),IF(B22="卖出",IF(G23-C22&lt;=0,F23,(F23*G23-C22*D22+E22)/(G23-C22)),""))</f>
        <v/>
      </c>
      <c r="G22" s="8">
        <f>IF(B22="买入",G23+C22,IF(B22="卖出",MAX(0,G23-C22),""))</f>
        <v/>
      </c>
      <c r="H22">
        <f>IF(B22="",H23,IF(B22="买入",H23,IF(B22="卖出",IF(G22=0,0,H23+(D22-F22)*C22-E22),H23)))</f>
        <v/>
      </c>
    </row>
    <row r="23">
      <c r="A23" s="6" t="n"/>
      <c r="B23" s="7" t="n"/>
      <c r="C23" s="7" t="n"/>
      <c r="D23" s="7" t="n"/>
      <c r="E23" s="7" t="n"/>
      <c r="F23" s="8">
        <f>IF(B23="买入",IF(G24&lt;=0,(C23*D23+E23)/C23,(F24*G24+C23*D23+E23)/(G24+C23)),IF(B23="卖出",IF(G24-C23&lt;=0,F24,(F24*G24-C23*D23+E23)/(G24-C23)),""))</f>
        <v/>
      </c>
      <c r="G23" s="8">
        <f>IF(B23="买入",G24+C23,IF(B23="卖出",MAX(0,G24-C23),""))</f>
        <v/>
      </c>
      <c r="H23">
        <f>IF(B23="",H24,IF(B23="买入",H24,IF(B23="卖出",IF(G23=0,0,H24+(D23-F23)*C23-E23),H24)))</f>
        <v/>
      </c>
    </row>
    <row r="24">
      <c r="A24" s="6" t="n"/>
      <c r="B24" s="7" t="n"/>
      <c r="C24" s="7" t="n"/>
      <c r="D24" s="7" t="n"/>
      <c r="E24" s="7" t="n"/>
      <c r="F24" s="8">
        <f>IF(B24="买入",IF(G25&lt;=0,(C24*D24+E24)/C24,(F25*G25+C24*D24+E24)/(G25+C24)),IF(B24="卖出",IF(G25-C24&lt;=0,F25,(F25*G25-C24*D24+E24)/(G25-C24)),""))</f>
        <v/>
      </c>
      <c r="G24" s="8">
        <f>IF(B24="买入",G25+C24,IF(B24="卖出",MAX(0,G25-C24),""))</f>
        <v/>
      </c>
      <c r="H24">
        <f>IF(B24="",H25,IF(B24="买入",H25,IF(B24="卖出",IF(G24=0,0,H25+(D24-F24)*C24-E24),H25)))</f>
        <v/>
      </c>
    </row>
    <row r="25">
      <c r="A25" s="6" t="n"/>
      <c r="B25" s="7" t="n"/>
      <c r="C25" s="7" t="n"/>
      <c r="D25" s="7" t="n"/>
      <c r="E25" s="7" t="n"/>
      <c r="F25" s="8">
        <f>IF(B25="买入",IF(G26&lt;=0,(C25*D25+E25)/C25,(F26*G26+C25*D25+E25)/(G26+C25)),IF(B25="卖出",IF(G26-C25&lt;=0,F26,(F26*G26-C25*D25+E25)/(G26-C25)),""))</f>
        <v/>
      </c>
      <c r="G25" s="8">
        <f>IF(B25="买入",G26+C25,IF(B25="卖出",MAX(0,G26-C25),""))</f>
        <v/>
      </c>
      <c r="H25">
        <f>IF(B25="",H26,IF(B25="买入",H26,IF(B25="卖出",IF(G25=0,0,H26+(D25-F25)*C25-E25),H26)))</f>
        <v/>
      </c>
    </row>
    <row r="26">
      <c r="A26" s="6" t="n"/>
      <c r="B26" s="7" t="n"/>
      <c r="C26" s="7" t="n"/>
      <c r="D26" s="7" t="n"/>
      <c r="E26" s="7" t="n"/>
      <c r="F26" s="8">
        <f>IF(B26="买入",IF(G27&lt;=0,(C26*D26+E26)/C26,(F27*G27+C26*D26+E26)/(G27+C26)),IF(B26="卖出",IF(G27-C26&lt;=0,F27,(F27*G27-C26*D26+E26)/(G27-C26)),""))</f>
        <v/>
      </c>
      <c r="G26" s="8">
        <f>IF(B26="买入",G27+C26,IF(B26="卖出",MAX(0,G27-C26),""))</f>
        <v/>
      </c>
      <c r="H26">
        <f>IF(B26="",H27,IF(B26="买入",H27,IF(B26="卖出",IF(G26=0,0,H27+(D26-F26)*C26-E26),H27)))</f>
        <v/>
      </c>
    </row>
    <row r="27">
      <c r="A27" s="6" t="n"/>
      <c r="B27" s="7" t="n"/>
      <c r="C27" s="7" t="n"/>
      <c r="D27" s="7" t="n"/>
      <c r="E27" s="7" t="n"/>
      <c r="F27" s="8">
        <f>IF(B27="买入",IF(G28&lt;=0,(C27*D27+E27)/C27,(F28*G28+C27*D27+E27)/(G28+C27)),IF(B27="卖出",IF(G28-C27&lt;=0,F28,(F28*G28-C27*D27+E27)/(G28-C27)),""))</f>
        <v/>
      </c>
      <c r="G27" s="8">
        <f>IF(B27="买入",G28+C27,IF(B27="卖出",MAX(0,G28-C27),""))</f>
        <v/>
      </c>
      <c r="H27">
        <f>IF(B27="",H28,IF(B27="买入",H28,IF(B27="卖出",IF(G27=0,0,H28+(D27-F27)*C27-E27),H28)))</f>
        <v/>
      </c>
    </row>
    <row r="28">
      <c r="A28" s="6" t="n"/>
      <c r="B28" s="7" t="n"/>
      <c r="C28" s="7" t="n"/>
      <c r="D28" s="7" t="n"/>
      <c r="E28" s="7" t="n"/>
      <c r="F28" s="8">
        <f>IF(B28="买入",IF(G29&lt;=0,(C28*D28+E28)/C28,(F29*G29+C28*D28+E28)/(G29+C28)),IF(B28="卖出",IF(G29-C28&lt;=0,F29,(F29*G29-C28*D28+E28)/(G29-C28)),""))</f>
        <v/>
      </c>
      <c r="G28" s="8">
        <f>IF(B28="买入",G29+C28,IF(B28="卖出",MAX(0,G29-C28),""))</f>
        <v/>
      </c>
      <c r="H28">
        <f>IF(B28="",H29,IF(B28="买入",H29,IF(B28="卖出",IF(G28=0,0,H29+(D28-F28)*C28-E28),H29)))</f>
        <v/>
      </c>
    </row>
    <row r="29">
      <c r="A29" s="6" t="n"/>
      <c r="B29" s="7" t="n"/>
      <c r="C29" s="7" t="n"/>
      <c r="D29" s="7" t="n"/>
      <c r="E29" s="7" t="n"/>
      <c r="F29" s="8">
        <f>IF(B29="买入",IF(G30&lt;=0,(C29*D29+E29)/C29,(F30*G30+C29*D29+E29)/(G30+C29)),IF(B29="卖出",IF(G30-C29&lt;=0,F30,(F30*G30-C29*D29+E29)/(G30-C29)),""))</f>
        <v/>
      </c>
      <c r="G29" s="8">
        <f>IF(B29="买入",G30+C29,IF(B29="卖出",MAX(0,G30-C29),""))</f>
        <v/>
      </c>
      <c r="H29">
        <f>IF(B29="",H30,IF(B29="买入",H30,IF(B29="卖出",IF(G29=0,0,H30+(D29-F29)*C29-E29),H30)))</f>
        <v/>
      </c>
    </row>
    <row r="30">
      <c r="A30" s="6" t="n"/>
      <c r="B30" s="7" t="n"/>
      <c r="C30" s="7" t="n"/>
      <c r="D30" s="7" t="n"/>
      <c r="E30" s="7" t="n"/>
      <c r="F30" s="8">
        <f>IF(B30="买入",IF(G31&lt;=0,(C30*D30+E30)/C30,(F31*G31+C30*D30+E30)/(G31+C30)),IF(B30="卖出",IF(G31-C30&lt;=0,F31,(F31*G31-C30*D30+E30)/(G31-C30)),""))</f>
        <v/>
      </c>
      <c r="G30" s="8">
        <f>IF(B30="买入",G31+C30,IF(B30="卖出",MAX(0,G31-C30),""))</f>
        <v/>
      </c>
      <c r="H30">
        <f>IF(B30="",H31,IF(B30="买入",H31,IF(B30="卖出",IF(G30=0,0,H31+(D30-F30)*C30-E30),H31)))</f>
        <v/>
      </c>
    </row>
    <row r="31">
      <c r="A31" s="6" t="n"/>
      <c r="B31" s="7" t="n"/>
      <c r="C31" s="7" t="n"/>
      <c r="D31" s="7" t="n"/>
      <c r="E31" s="7" t="n"/>
      <c r="F31" s="8">
        <f>IF(B31="买入",IF(G32&lt;=0,(C31*D31+E31)/C31,(F32*G32+C31*D31+E31)/(G32+C31)),IF(B31="卖出",IF(G32-C31&lt;=0,F32,(F32*G32-C31*D31+E31)/(G32-C31)),""))</f>
        <v/>
      </c>
      <c r="G31" s="8">
        <f>IF(B31="买入",G32+C31,IF(B31="卖出",MAX(0,G32-C31),""))</f>
        <v/>
      </c>
      <c r="H31">
        <f>IF(B31="",H32,IF(B31="买入",H32,IF(B31="卖出",IF(G31=0,0,H32+(D31-F31)*C31-E31),H32)))</f>
        <v/>
      </c>
    </row>
    <row r="32">
      <c r="A32" s="6" t="n"/>
      <c r="B32" s="7" t="n"/>
      <c r="C32" s="7" t="n"/>
      <c r="D32" s="7" t="n"/>
      <c r="E32" s="7" t="n"/>
      <c r="F32" s="8">
        <f>IF(B32="买入",IF(G33&lt;=0,(C32*D32+E32)/C32,(F33*G33+C32*D32+E32)/(G33+C32)),IF(B32="卖出",IF(G33-C32&lt;=0,F33,(F33*G33-C32*D32+E32)/(G33-C32)),""))</f>
        <v/>
      </c>
      <c r="G32" s="8">
        <f>IF(B32="买入",G33+C32,IF(B32="卖出",MAX(0,G33-C32),""))</f>
        <v/>
      </c>
      <c r="H32">
        <f>IF(B32="",H33,IF(B32="买入",H33,IF(B32="卖出",IF(G32=0,0,H33+(D32-F32)*C32-E32),H33)))</f>
        <v/>
      </c>
    </row>
    <row r="33">
      <c r="A33" s="6" t="n"/>
      <c r="B33" s="7" t="n"/>
      <c r="C33" s="7" t="n"/>
      <c r="D33" s="7" t="n"/>
      <c r="E33" s="7" t="n"/>
      <c r="F33" s="8">
        <f>IF(B33="买入",IF(G34&lt;=0,(C33*D33+E33)/C33,(F34*G34+C33*D33+E33)/(G34+C33)),IF(B33="卖出",IF(G34-C33&lt;=0,F34,(F34*G34-C33*D33+E33)/(G34-C33)),""))</f>
        <v/>
      </c>
      <c r="G33" s="8">
        <f>IF(B33="买入",G34+C33,IF(B33="卖出",MAX(0,G34-C33),""))</f>
        <v/>
      </c>
      <c r="H33">
        <f>IF(B33="",H34,IF(B33="买入",H34,IF(B33="卖出",IF(G33=0,0,H34+(D33-F33)*C33-E33),H34)))</f>
        <v/>
      </c>
    </row>
    <row r="34">
      <c r="A34" s="6" t="n"/>
      <c r="B34" s="7" t="n"/>
      <c r="C34" s="7" t="n"/>
      <c r="D34" s="7" t="n"/>
      <c r="E34" s="7" t="n"/>
      <c r="F34" s="8">
        <f>IF(B34="买入",IF(G35&lt;=0,(C34*D34+E34)/C34,(F35*G35+C34*D34+E34)/(G35+C34)),IF(B34="卖出",IF(G35-C34&lt;=0,F35,(F35*G35-C34*D34+E34)/(G35-C34)),""))</f>
        <v/>
      </c>
      <c r="G34" s="8">
        <f>IF(B34="买入",G35+C34,IF(B34="卖出",MAX(0,G35-C34),""))</f>
        <v/>
      </c>
      <c r="H34">
        <f>IF(B34="",H35,IF(B34="买入",H35,IF(B34="卖出",IF(G34=0,0,H35+(D34-F34)*C34-E34),H35)))</f>
        <v/>
      </c>
    </row>
    <row r="35">
      <c r="A35" s="6" t="n"/>
      <c r="B35" s="7" t="n"/>
      <c r="C35" s="7" t="n"/>
      <c r="D35" s="7" t="n"/>
      <c r="E35" s="7" t="n"/>
      <c r="F35" s="8">
        <f>IF(B35="买入",IF(G36&lt;=0,(C35*D35+E35)/C35,(F36*G36+C35*D35+E35)/(G36+C35)),IF(B35="卖出",IF(G36-C35&lt;=0,F36,(F36*G36-C35*D35+E35)/(G36-C35)),""))</f>
        <v/>
      </c>
      <c r="G35" s="8">
        <f>IF(B35="买入",G36+C35,IF(B35="卖出",MAX(0,G36-C35),""))</f>
        <v/>
      </c>
      <c r="H35">
        <f>IF(B35="",H36,IF(B35="买入",H36,IF(B35="卖出",IF(G35=0,0,H36+(D35-F35)*C35-E35),H36)))</f>
        <v/>
      </c>
    </row>
    <row r="36">
      <c r="A36" s="6" t="n"/>
      <c r="B36" s="7" t="n"/>
      <c r="C36" s="7" t="n"/>
      <c r="D36" s="7" t="n"/>
      <c r="E36" s="7" t="n"/>
      <c r="F36" s="8">
        <f>IF(B36="买入",IF(G37&lt;=0,(C36*D36+E36)/C36,(F37*G37+C36*D36+E36)/(G37+C36)),IF(B36="卖出",IF(G37-C36&lt;=0,F37,(F37*G37-C36*D36+E36)/(G37-C36)),""))</f>
        <v/>
      </c>
      <c r="G36" s="8">
        <f>IF(B36="买入",G37+C36,IF(B36="卖出",MAX(0,G37-C36),""))</f>
        <v/>
      </c>
      <c r="H36">
        <f>IF(B36="",H37,IF(B36="买入",H37,IF(B36="卖出",IF(G36=0,0,H37+(D36-F36)*C36-E36),H37)))</f>
        <v/>
      </c>
    </row>
    <row r="37">
      <c r="A37" s="6" t="n"/>
      <c r="B37" s="7" t="n"/>
      <c r="C37" s="7" t="n"/>
      <c r="D37" s="7" t="n"/>
      <c r="E37" s="7" t="n"/>
      <c r="F37" s="8">
        <f>IF(B37="买入",IF(G38&lt;=0,(C37*D37+E37)/C37,(F38*G38+C37*D37+E37)/(G38+C37)),IF(B37="卖出",IF(G38-C37&lt;=0,F38,(F38*G38-C37*D37+E37)/(G38-C37)),""))</f>
        <v/>
      </c>
      <c r="G37" s="8">
        <f>IF(B37="买入",G38+C37,IF(B37="卖出",MAX(0,G38-C37),""))</f>
        <v/>
      </c>
      <c r="H37">
        <f>IF(B37="",H38,IF(B37="买入",H38,IF(B37="卖出",IF(G37=0,0,H38+(D37-F37)*C37-E37),H38)))</f>
        <v/>
      </c>
    </row>
    <row r="38">
      <c r="A38" s="6" t="n"/>
      <c r="B38" s="7" t="n"/>
      <c r="C38" s="7" t="n"/>
      <c r="D38" s="7" t="n"/>
      <c r="E38" s="7" t="n"/>
      <c r="F38" s="8">
        <f>IF(B38="买入",IF(G39&lt;=0,(C38*D38+E38)/C38,(F39*G39+C38*D38+E38)/(G39+C38)),IF(B38="卖出",IF(G39-C38&lt;=0,F39,(F39*G39-C38*D38+E38)/(G39-C38)),""))</f>
        <v/>
      </c>
      <c r="G38" s="8">
        <f>IF(B38="买入",G39+C38,IF(B38="卖出",MAX(0,G39-C38),""))</f>
        <v/>
      </c>
      <c r="H38">
        <f>IF(B38="",H39,IF(B38="买入",H39,IF(B38="卖出",IF(G38=0,0,H39+(D38-F38)*C38-E38),H39)))</f>
        <v/>
      </c>
    </row>
    <row r="39">
      <c r="A39" s="6" t="n"/>
      <c r="B39" s="7" t="n"/>
      <c r="C39" s="7" t="n"/>
      <c r="D39" s="7" t="n"/>
      <c r="E39" s="7" t="n"/>
      <c r="F39" s="8">
        <f>IF(B39="买入",IF(G40&lt;=0,(C39*D39+E39)/C39,(F40*G40+C39*D39+E39)/(G40+C39)),IF(B39="卖出",IF(G40-C39&lt;=0,F40,(F40*G40-C39*D39+E39)/(G40-C39)),""))</f>
        <v/>
      </c>
      <c r="G39" s="8">
        <f>IF(B39="买入",G40+C39,IF(B39="卖出",MAX(0,G40-C39),""))</f>
        <v/>
      </c>
      <c r="H39">
        <f>IF(B39="",H40,IF(B39="买入",H40,IF(B39="卖出",IF(G39=0,0,H40+(D39-F39)*C39-E39),H40)))</f>
        <v/>
      </c>
    </row>
    <row r="40">
      <c r="A40" s="6" t="n"/>
      <c r="B40" s="7" t="n"/>
      <c r="C40" s="7" t="n"/>
      <c r="D40" s="7" t="n"/>
      <c r="E40" s="7" t="n"/>
      <c r="F40" s="8">
        <f>IF(B40="买入",IF(G41&lt;=0,(C40*D40+E40)/C40,(F41*G41+C40*D40+E40)/(G41+C40)),IF(B40="卖出",IF(G41-C40&lt;=0,F41,(F41*G41-C40*D40+E40)/(G41-C40)),""))</f>
        <v/>
      </c>
      <c r="G40" s="8">
        <f>IF(B40="买入",G41+C40,IF(B40="卖出",MAX(0,G41-C40),""))</f>
        <v/>
      </c>
      <c r="H40">
        <f>IF(B40="",H41,IF(B40="买入",H41,IF(B40="卖出",IF(G40=0,0,H41+(D40-F40)*C40-E40),H41)))</f>
        <v/>
      </c>
    </row>
    <row r="41">
      <c r="A41" s="6" t="n"/>
      <c r="B41" s="7" t="n"/>
      <c r="C41" s="7" t="n"/>
      <c r="D41" s="7" t="n"/>
      <c r="E41" s="7" t="n"/>
      <c r="F41" s="8">
        <f>IF(B41="买入",IF(G42&lt;=0,(C41*D41+E41)/C41,(F42*G42+C41*D41+E41)/(G42+C41)),IF(B41="卖出",IF(G42-C41&lt;=0,F42,(F42*G42-C41*D41+E41)/(G42-C41)),""))</f>
        <v/>
      </c>
      <c r="G41" s="8">
        <f>IF(B41="买入",G42+C41,IF(B41="卖出",MAX(0,G42-C41),""))</f>
        <v/>
      </c>
      <c r="H41">
        <f>IF(B41="",H42,IF(B41="买入",H42,IF(B41="卖出",IF(G41=0,0,H42+(D41-F41)*C41-E41),H42)))</f>
        <v/>
      </c>
    </row>
    <row r="42">
      <c r="A42" s="6" t="n"/>
      <c r="B42" s="7" t="n"/>
      <c r="C42" s="7" t="n"/>
      <c r="D42" s="7" t="n"/>
      <c r="E42" s="7" t="n"/>
      <c r="F42" s="8">
        <f>IF(B42="买入",IF(G43&lt;=0,(C42*D42+E42)/C42,(F43*G43+C42*D42+E42)/(G43+C42)),IF(B42="卖出",IF(G43-C42&lt;=0,F43,(F43*G43-C42*D42+E42)/(G43-C42)),""))</f>
        <v/>
      </c>
      <c r="G42" s="8">
        <f>IF(B42="买入",G43+C42,IF(B42="卖出",MAX(0,G43-C42),""))</f>
        <v/>
      </c>
      <c r="H42">
        <f>IF(B42="",H43,IF(B42="买入",H43,IF(B42="卖出",IF(G42=0,0,H43+(D42-F42)*C42-E42),H43)))</f>
        <v/>
      </c>
    </row>
    <row r="43">
      <c r="A43" s="6" t="n"/>
      <c r="B43" s="7" t="n"/>
      <c r="C43" s="7" t="n"/>
      <c r="D43" s="7" t="n"/>
      <c r="E43" s="7" t="n"/>
      <c r="F43" s="8">
        <f>IF(B43="买入",IF(G44&lt;=0,(C43*D43+E43)/C43,(F44*G44+C43*D43+E43)/(G44+C43)),IF(B43="卖出",IF(G44-C43&lt;=0,F44,(F44*G44-C43*D43+E43)/(G44-C43)),""))</f>
        <v/>
      </c>
      <c r="G43" s="8">
        <f>IF(B43="买入",G44+C43,IF(B43="卖出",MAX(0,G44-C43),""))</f>
        <v/>
      </c>
      <c r="H43">
        <f>IF(B43="",H44,IF(B43="买入",H44,IF(B43="卖出",IF(G43=0,0,H44+(D43-F43)*C43-E43),H44)))</f>
        <v/>
      </c>
    </row>
    <row r="44">
      <c r="A44" s="6" t="n"/>
      <c r="B44" s="7" t="n"/>
      <c r="C44" s="7" t="n"/>
      <c r="D44" s="7" t="n"/>
      <c r="E44" s="7" t="n"/>
      <c r="F44" s="8">
        <f>IF(B44="买入",IF(G45&lt;=0,(C44*D44+E44)/C44,(F45*G45+C44*D44+E44)/(G45+C44)),IF(B44="卖出",IF(G45-C44&lt;=0,F45,(F45*G45-C44*D44+E44)/(G45-C44)),""))</f>
        <v/>
      </c>
      <c r="G44" s="8">
        <f>IF(B44="买入",G45+C44,IF(B44="卖出",MAX(0,G45-C44),""))</f>
        <v/>
      </c>
      <c r="H44">
        <f>IF(B44="",H45,IF(B44="买入",H45,IF(B44="卖出",IF(G44=0,0,H45+(D44-F44)*C44-E44),H45)))</f>
        <v/>
      </c>
    </row>
    <row r="45">
      <c r="A45" s="6" t="n"/>
      <c r="B45" s="7" t="n"/>
      <c r="C45" s="7" t="n"/>
      <c r="D45" s="7" t="n"/>
      <c r="E45" s="7" t="n"/>
      <c r="F45" s="8">
        <f>IF(B45="买入",IF(G46&lt;=0,(C45*D45+E45)/C45,(F46*G46+C45*D45+E45)/(G46+C45)),IF(B45="卖出",IF(G46-C45&lt;=0,F46,(F46*G46-C45*D45+E45)/(G46-C45)),""))</f>
        <v/>
      </c>
      <c r="G45" s="8">
        <f>IF(B45="买入",G46+C45,IF(B45="卖出",MAX(0,G46-C45),""))</f>
        <v/>
      </c>
      <c r="H45">
        <f>IF(B45="",H46,IF(B45="买入",H46,IF(B45="卖出",IF(G45=0,0,H46+(D45-F45)*C45-E45),H46)))</f>
        <v/>
      </c>
    </row>
    <row r="46">
      <c r="A46" s="6" t="n"/>
      <c r="B46" s="7" t="n"/>
      <c r="C46" s="7" t="n"/>
      <c r="D46" s="7" t="n"/>
      <c r="E46" s="7" t="n"/>
      <c r="F46" s="8">
        <f>IF(B46="买入",IF(G47&lt;=0,(C46*D46+E46)/C46,(F47*G47+C46*D46+E46)/(G47+C46)),IF(B46="卖出",IF(G47-C46&lt;=0,F47,(F47*G47-C46*D46+E46)/(G47-C46)),""))</f>
        <v/>
      </c>
      <c r="G46" s="8">
        <f>IF(B46="买入",G47+C46,IF(B46="卖出",MAX(0,G47-C46),""))</f>
        <v/>
      </c>
      <c r="H46">
        <f>IF(B46="",H47,IF(B46="买入",H47,IF(B46="卖出",IF(G46=0,0,H47+(D46-F46)*C46-E46),H47)))</f>
        <v/>
      </c>
    </row>
    <row r="47">
      <c r="A47" s="6" t="n"/>
      <c r="B47" s="7" t="n"/>
      <c r="C47" s="7" t="n"/>
      <c r="D47" s="7" t="n"/>
      <c r="E47" s="7" t="n"/>
      <c r="F47" s="8">
        <f>IF(B47="买入",IF(G48&lt;=0,(C47*D47+E47)/C47,(F48*G48+C47*D47+E47)/(G48+C47)),IF(B47="卖出",IF(G48-C47&lt;=0,F48,(F48*G48-C47*D47+E47)/(G48-C47)),""))</f>
        <v/>
      </c>
      <c r="G47" s="8">
        <f>IF(B47="买入",G48+C47,IF(B47="卖出",MAX(0,G48-C47),""))</f>
        <v/>
      </c>
      <c r="H47">
        <f>IF(B47="",H48,IF(B47="买入",H48,IF(B47="卖出",IF(G47=0,0,H48+(D47-F47)*C47-E47),H48)))</f>
        <v/>
      </c>
    </row>
    <row r="48">
      <c r="A48" s="6" t="n"/>
      <c r="B48" s="7" t="n"/>
      <c r="C48" s="7" t="n"/>
      <c r="D48" s="7" t="n"/>
      <c r="E48" s="7" t="n"/>
      <c r="F48" s="8">
        <f>IF(B48="买入",IF(G49&lt;=0,(C48*D48+E48)/C48,(F49*G49+C48*D48+E48)/(G49+C48)),IF(B48="卖出",IF(G49-C48&lt;=0,F49,(F49*G49-C48*D48+E48)/(G49-C48)),""))</f>
        <v/>
      </c>
      <c r="G48" s="8">
        <f>IF(B48="买入",G49+C48,IF(B48="卖出",MAX(0,G49-C48),""))</f>
        <v/>
      </c>
      <c r="H48">
        <f>IF(B48="",H49,IF(B48="买入",H49,IF(B48="卖出",IF(G48=0,0,H49+(D48-F48)*C48-E48),H49)))</f>
        <v/>
      </c>
    </row>
    <row r="49">
      <c r="A49" s="6" t="n"/>
      <c r="B49" s="7" t="n"/>
      <c r="C49" s="7" t="n"/>
      <c r="D49" s="7" t="n"/>
      <c r="E49" s="7" t="n"/>
      <c r="F49" s="8">
        <f>IF(B49="买入",IF(G50&lt;=0,(C49*D49+E49)/C49,(F50*G50+C49*D49+E49)/(G50+C49)),IF(B49="卖出",IF(G50-C49&lt;=0,F50,(F50*G50-C49*D49+E49)/(G50-C49)),""))</f>
        <v/>
      </c>
      <c r="G49" s="8">
        <f>IF(B49="买入",G50+C49,IF(B49="卖出",MAX(0,G50-C49),""))</f>
        <v/>
      </c>
      <c r="H49">
        <f>IF(B49="",H50,IF(B49="买入",H50,IF(B49="卖出",IF(G49=0,0,H50+(D49-F49)*C49-E49),H50)))</f>
        <v/>
      </c>
    </row>
    <row r="50">
      <c r="A50" s="6" t="n"/>
      <c r="B50" s="7" t="n"/>
      <c r="C50" s="7" t="n"/>
      <c r="D50" s="7" t="n"/>
      <c r="E50" s="7" t="n"/>
      <c r="F50" s="8">
        <f>IF(B50="买入",IF(G51&lt;=0,(C50*D50+E50)/C50,(F51*G51+C50*D50+E50)/(G51+C50)),IF(B50="卖出",IF(G51-C50&lt;=0,F51,(F51*G51-C50*D50+E50)/(G51-C50)),""))</f>
        <v/>
      </c>
      <c r="G50" s="8">
        <f>IF(B50="买入",G51+C50,IF(B50="卖出",MAX(0,G51-C50),""))</f>
        <v/>
      </c>
      <c r="H50">
        <f>IF(B50="",H51,IF(B50="买入",H51,IF(B50="卖出",IF(G50=0,0,H51+(D50-F50)*C50-E50),H51)))</f>
        <v/>
      </c>
    </row>
    <row r="51">
      <c r="A51" s="6" t="n"/>
      <c r="B51" s="7" t="n"/>
      <c r="C51" s="7" t="n"/>
      <c r="D51" s="7" t="n"/>
      <c r="E51" s="7" t="n"/>
      <c r="F51" s="8">
        <f>IF(B51="买入",IF(G52&lt;=0,(C51*D51+E51)/C51,(F52*G52+C51*D51+E51)/(G52+C51)),IF(B51="卖出",IF(G52-C51&lt;=0,F52,(F52*G52-C51*D51+E51)/(G52-C51)),""))</f>
        <v/>
      </c>
      <c r="G51" s="8">
        <f>IF(B51="买入",G52+C51,IF(B51="卖出",MAX(0,G52-C51),""))</f>
        <v/>
      </c>
      <c r="H51">
        <f>IF(B51="",H52,IF(B51="买入",H52,IF(B51="卖出",IF(G51=0,0,H52+(D51-F51)*C51-E51),H52)))</f>
        <v/>
      </c>
    </row>
    <row r="52">
      <c r="A52" s="6" t="n"/>
      <c r="B52" s="7" t="n"/>
      <c r="C52" s="7" t="n"/>
      <c r="D52" s="7" t="n"/>
      <c r="E52" s="7" t="n"/>
      <c r="F52" s="8">
        <f>IF(B52="买入",IF(G53&lt;=0,(C52*D52+E52)/C52,(F53*G53+C52*D52+E52)/(G53+C52)),IF(B52="卖出",IF(G53-C52&lt;=0,F53,(F53*G53-C52*D52+E52)/(G53-C52)),""))</f>
        <v/>
      </c>
      <c r="G52" s="8">
        <f>IF(B52="买入",G53+C52,IF(B52="卖出",MAX(0,G53-C52),""))</f>
        <v/>
      </c>
      <c r="H52">
        <f>IF(B52="",H53,IF(B52="买入",H53,IF(B52="卖出",IF(G52=0,0,H53+(D52-F52)*C52-E52),H53)))</f>
        <v/>
      </c>
    </row>
    <row r="53">
      <c r="A53" s="6" t="n"/>
      <c r="B53" s="7" t="n"/>
      <c r="C53" s="7" t="n"/>
      <c r="D53" s="7" t="n"/>
      <c r="E53" s="7" t="n"/>
      <c r="F53" s="8">
        <f>IF(B53="买入",IF(G54&lt;=0,(C53*D53+E53)/C53,(F54*G54+C53*D53+E53)/(G54+C53)),IF(B53="卖出",IF(G54-C53&lt;=0,F54,(F54*G54-C53*D53+E53)/(G54-C53)),""))</f>
        <v/>
      </c>
      <c r="G53" s="8">
        <f>IF(B53="买入",G54+C53,IF(B53="卖出",MAX(0,G54-C53),""))</f>
        <v/>
      </c>
      <c r="H53">
        <f>IF(B53="",H54,IF(B53="买入",H54,IF(B53="卖出",IF(G53=0,0,H54+(D53-F53)*C53-E53),H54)))</f>
        <v/>
      </c>
    </row>
    <row r="54">
      <c r="A54" s="6" t="n"/>
      <c r="B54" s="7" t="n"/>
      <c r="C54" s="7" t="n"/>
      <c r="D54" s="7" t="n"/>
      <c r="E54" s="7" t="n"/>
      <c r="F54" s="8">
        <f>IF(B54="买入",IF(G55&lt;=0,(C54*D54+E54)/C54,(F55*G55+C54*D54+E54)/(G55+C54)),IF(B54="卖出",IF(G55-C54&lt;=0,F55,(F55*G55-C54*D54+E54)/(G55-C54)),""))</f>
        <v/>
      </c>
      <c r="G54" s="8">
        <f>IF(B54="买入",G55+C54,IF(B54="卖出",MAX(0,G55-C54),""))</f>
        <v/>
      </c>
      <c r="H54">
        <f>IF(B54="",H55,IF(B54="买入",H55,IF(B54="卖出",IF(G54=0,0,H55+(D54-F54)*C54-E54),H55)))</f>
        <v/>
      </c>
    </row>
    <row r="55">
      <c r="A55" s="6" t="n"/>
      <c r="B55" s="7" t="n"/>
      <c r="C55" s="7" t="n"/>
      <c r="D55" s="7" t="n"/>
      <c r="E55" s="7" t="n"/>
      <c r="F55" s="8">
        <f>IF(B55="买入",IF(G56&lt;=0,(C55*D55+E55)/C55,(F56*G56+C55*D55+E55)/(G56+C55)),IF(B55="卖出",IF(G56-C55&lt;=0,F56,(F56*G56-C55*D55+E55)/(G56-C55)),""))</f>
        <v/>
      </c>
      <c r="G55" s="8">
        <f>IF(B55="买入",G56+C55,IF(B55="卖出",MAX(0,G56-C55),""))</f>
        <v/>
      </c>
      <c r="H55">
        <f>IF(B55="",H56,IF(B55="买入",H56,IF(B55="卖出",IF(G55=0,0,H56+(D55-F55)*C55-E55),H56)))</f>
        <v/>
      </c>
    </row>
    <row r="56">
      <c r="A56" s="6" t="n"/>
      <c r="B56" s="7" t="n"/>
      <c r="C56" s="7" t="n"/>
      <c r="D56" s="7" t="n"/>
      <c r="E56" s="7" t="n"/>
      <c r="F56" s="8">
        <f>IF(B56="买入",IF(G57&lt;=0,(C56*D56+E56)/C56,(F57*G57+C56*D56+E56)/(G57+C56)),IF(B56="卖出",IF(G57-C56&lt;=0,F57,(F57*G57-C56*D56+E56)/(G57-C56)),""))</f>
        <v/>
      </c>
      <c r="G56" s="8">
        <f>IF(B56="买入",G57+C56,IF(B56="卖出",MAX(0,G57-C56),""))</f>
        <v/>
      </c>
      <c r="H56">
        <f>IF(B56="",H57,IF(B56="买入",H57,IF(B56="卖出",IF(G56=0,0,H57+(D56-F56)*C56-E56),H57)))</f>
        <v/>
      </c>
    </row>
    <row r="57">
      <c r="A57" s="6" t="n"/>
      <c r="B57" s="7" t="n"/>
      <c r="C57" s="7" t="n"/>
      <c r="D57" s="7" t="n"/>
      <c r="E57" s="7" t="n"/>
      <c r="F57" s="8">
        <f>IF(B57="买入",IF(G58&lt;=0,(C57*D57+E57)/C57,(F58*G58+C57*D57+E57)/(G58+C57)),IF(B57="卖出",IF(G58-C57&lt;=0,F58,(F58*G58-C57*D57+E57)/(G58-C57)),""))</f>
        <v/>
      </c>
      <c r="G57" s="8">
        <f>IF(B57="买入",G58+C57,IF(B57="卖出",MAX(0,G58-C57),""))</f>
        <v/>
      </c>
      <c r="H57">
        <f>IF(B57="",H58,IF(B57="买入",H58,IF(B57="卖出",IF(G57=0,0,H58+(D57-F57)*C57-E57),H58)))</f>
        <v/>
      </c>
    </row>
    <row r="58">
      <c r="A58" s="6" t="n"/>
      <c r="B58" s="7" t="n"/>
      <c r="C58" s="7" t="n"/>
      <c r="D58" s="7" t="n"/>
      <c r="E58" s="7" t="n"/>
      <c r="F58" s="8">
        <f>IF(B58="买入",IF(G59&lt;=0,(C58*D58+E58)/C58,(F59*G59+C58*D58+E58)/(G59+C58)),IF(B58="卖出",IF(G59-C58&lt;=0,F59,(F59*G59-C58*D58+E58)/(G59-C58)),""))</f>
        <v/>
      </c>
      <c r="G58" s="8">
        <f>IF(B58="买入",G59+C58,IF(B58="卖出",MAX(0,G59-C58),""))</f>
        <v/>
      </c>
      <c r="H58">
        <f>IF(B58="",H59,IF(B58="买入",H59,IF(B58="卖出",IF(G58=0,0,H59+(D58-F58)*C58-E58),H59)))</f>
        <v/>
      </c>
    </row>
    <row r="59">
      <c r="A59" s="6" t="n"/>
      <c r="B59" s="7" t="n"/>
      <c r="C59" s="7" t="n"/>
      <c r="D59" s="7" t="n"/>
      <c r="E59" s="7" t="n"/>
      <c r="F59" s="8">
        <f>IF(B59="买入",IF(G60&lt;=0,(C59*D59+E59)/C59,(F60*G60+C59*D59+E59)/(G60+C59)),IF(B59="卖出",IF(G60-C59&lt;=0,F60,(F60*G60-C59*D59+E59)/(G60-C59)),""))</f>
        <v/>
      </c>
      <c r="G59" s="8">
        <f>IF(B59="买入",G60+C59,IF(B59="卖出",MAX(0,G60-C59),""))</f>
        <v/>
      </c>
      <c r="H59">
        <f>IF(B59="",H60,IF(B59="买入",H60,IF(B59="卖出",IF(G59=0,0,H60+(D59-F59)*C59-E59),H60)))</f>
        <v/>
      </c>
    </row>
    <row r="60">
      <c r="A60" s="6" t="n"/>
      <c r="B60" s="7" t="n"/>
      <c r="C60" s="7" t="n"/>
      <c r="D60" s="7" t="n"/>
      <c r="E60" s="7" t="n"/>
      <c r="F60" s="8">
        <f>IF(B60="买入",IF(G61&lt;=0,(C60*D60+E60)/C60,(F61*G61+C60*D60+E60)/(G61+C60)),IF(B60="卖出",IF(G61-C60&lt;=0,F61,(F61*G61-C60*D60+E60)/(G61-C60)),""))</f>
        <v/>
      </c>
      <c r="G60" s="8">
        <f>IF(B60="买入",G61+C60,IF(B60="卖出",MAX(0,G61-C60),""))</f>
        <v/>
      </c>
      <c r="H60">
        <f>IF(B60="",H61,IF(B60="买入",H61,IF(B60="卖出",IF(G60=0,0,H61+(D60-F60)*C60-E60),H61)))</f>
        <v/>
      </c>
    </row>
    <row r="61">
      <c r="A61" s="6" t="n"/>
      <c r="B61" s="7" t="n"/>
      <c r="C61" s="7" t="n"/>
      <c r="D61" s="7" t="n"/>
      <c r="E61" s="7" t="n"/>
      <c r="F61" s="8">
        <f>IF(B61="买入",IF(G62&lt;=0,(C61*D61+E61)/C61,(F62*G62+C61*D61+E61)/(G62+C61)),IF(B61="卖出",IF(G62-C61&lt;=0,F62,(F62*G62-C61*D61+E61)/(G62-C61)),""))</f>
        <v/>
      </c>
      <c r="G61" s="8">
        <f>IF(B61="买入",G62+C61,IF(B61="卖出",MAX(0,G62-C61),""))</f>
        <v/>
      </c>
      <c r="H61">
        <f>IF(B61="",H62,IF(B61="买入",H62,IF(B61="卖出",IF(G61=0,0,H62+(D61-F61)*C61-E61),H62)))</f>
        <v/>
      </c>
    </row>
    <row r="62">
      <c r="A62" s="6" t="n"/>
      <c r="B62" s="7" t="n"/>
      <c r="C62" s="7" t="n"/>
      <c r="D62" s="7" t="n"/>
      <c r="E62" s="7" t="n"/>
      <c r="F62" s="8">
        <f>IF(B62="买入",IF(G63&lt;=0,(C62*D62+E62)/C62,(F63*G63+C62*D62+E62)/(G63+C62)),IF(B62="卖出",IF(G63-C62&lt;=0,F63,(F63*G63-C62*D62+E62)/(G63-C62)),""))</f>
        <v/>
      </c>
      <c r="G62" s="8">
        <f>IF(B62="买入",G63+C62,IF(B62="卖出",MAX(0,G63-C62),""))</f>
        <v/>
      </c>
      <c r="H62">
        <f>IF(B62="",H63,IF(B62="买入",H63,IF(B62="卖出",IF(G62=0,0,H63+(D62-F62)*C62-E62),H63)))</f>
        <v/>
      </c>
    </row>
    <row r="63">
      <c r="A63" s="6" t="n"/>
      <c r="B63" s="7" t="n"/>
      <c r="C63" s="7" t="n"/>
      <c r="D63" s="7" t="n"/>
      <c r="E63" s="7" t="n"/>
      <c r="F63" s="8">
        <f>IF(B63="买入",IF(G64&lt;=0,(C63*D63+E63)/C63,(F64*G64+C63*D63+E63)/(G64+C63)),IF(B63="卖出",IF(G64-C63&lt;=0,F64,(F64*G64-C63*D63+E63)/(G64-C63)),""))</f>
        <v/>
      </c>
      <c r="G63" s="8">
        <f>IF(B63="买入",G64+C63,IF(B63="卖出",MAX(0,G64-C63),""))</f>
        <v/>
      </c>
      <c r="H63">
        <f>IF(B63="",H64,IF(B63="买入",H64,IF(B63="卖出",IF(G63=0,0,H64+(D63-F63)*C63-E63),H64)))</f>
        <v/>
      </c>
    </row>
    <row r="64">
      <c r="A64" s="6" t="n"/>
      <c r="B64" s="7" t="n"/>
      <c r="C64" s="7" t="n"/>
      <c r="D64" s="7" t="n"/>
      <c r="E64" s="7" t="n"/>
      <c r="F64" s="8">
        <f>IF(B64="买入",IF(G65&lt;=0,(C64*D64+E64)/C64,(F65*G65+C64*D64+E64)/(G65+C64)),IF(B64="卖出",IF(G65-C64&lt;=0,F65,(F65*G65-C64*D64+E64)/(G65-C64)),""))</f>
        <v/>
      </c>
      <c r="G64" s="8">
        <f>IF(B64="买入",G65+C64,IF(B64="卖出",MAX(0,G65-C64),""))</f>
        <v/>
      </c>
      <c r="H64">
        <f>IF(B64="",H65,IF(B64="买入",H65,IF(B64="卖出",IF(G64=0,0,H65+(D64-F64)*C64-E64),H65)))</f>
        <v/>
      </c>
    </row>
    <row r="65">
      <c r="A65" s="6" t="n"/>
      <c r="B65" s="7" t="n"/>
      <c r="C65" s="7" t="n"/>
      <c r="D65" s="7" t="n"/>
      <c r="E65" s="7" t="n"/>
      <c r="F65" s="8">
        <f>IF(B65="买入",IF(G66&lt;=0,(C65*D65+E65)/C65,(F66*G66+C65*D65+E65)/(G66+C65)),IF(B65="卖出",IF(G66-C65&lt;=0,F66,(F66*G66-C65*D65+E65)/(G66-C65)),""))</f>
        <v/>
      </c>
      <c r="G65" s="8">
        <f>IF(B65="买入",G66+C65,IF(B65="卖出",MAX(0,G66-C65),""))</f>
        <v/>
      </c>
      <c r="H65">
        <f>IF(B65="",H66,IF(B65="买入",H66,IF(B65="卖出",IF(G65=0,0,H66+(D65-F65)*C65-E65),H66)))</f>
        <v/>
      </c>
    </row>
    <row r="66">
      <c r="A66" s="6" t="n"/>
      <c r="B66" s="7" t="n"/>
      <c r="C66" s="7" t="n"/>
      <c r="D66" s="7" t="n"/>
      <c r="E66" s="7" t="n"/>
      <c r="F66" s="8">
        <f>IF(B66="买入",IF(G67&lt;=0,(C66*D66+E66)/C66,(F67*G67+C66*D66+E66)/(G67+C66)),IF(B66="卖出",IF(G67-C66&lt;=0,F67,(F67*G67-C66*D66+E66)/(G67-C66)),""))</f>
        <v/>
      </c>
      <c r="G66" s="8">
        <f>IF(B66="买入",G67+C66,IF(B66="卖出",MAX(0,G67-C66),""))</f>
        <v/>
      </c>
      <c r="H66">
        <f>IF(B66="",H67,IF(B66="买入",H67,IF(B66="卖出",IF(G66=0,0,H67+(D66-F66)*C66-E66),H67)))</f>
        <v/>
      </c>
    </row>
    <row r="67">
      <c r="A67" s="6" t="n"/>
      <c r="B67" s="7" t="n"/>
      <c r="C67" s="7" t="n"/>
      <c r="D67" s="7" t="n"/>
      <c r="E67" s="7" t="n"/>
      <c r="F67" s="8">
        <f>IF(B67="买入",IF(G68&lt;=0,(C67*D67+E67)/C67,(F68*G68+C67*D67+E67)/(G68+C67)),IF(B67="卖出",IF(G68-C67&lt;=0,F68,(F68*G68-C67*D67+E67)/(G68-C67)),""))</f>
        <v/>
      </c>
      <c r="G67" s="8">
        <f>IF(B67="买入",G68+C67,IF(B67="卖出",MAX(0,G68-C67),""))</f>
        <v/>
      </c>
      <c r="H67">
        <f>IF(B67="",H68,IF(B67="买入",H68,IF(B67="卖出",IF(G67=0,0,H68+(D67-F67)*C67-E67),H68)))</f>
        <v/>
      </c>
    </row>
    <row r="68">
      <c r="A68" s="6" t="n"/>
      <c r="B68" s="7" t="n"/>
      <c r="C68" s="7" t="n"/>
      <c r="D68" s="7" t="n"/>
      <c r="E68" s="7" t="n"/>
      <c r="F68" s="8">
        <f>IF(B68="买入",IF(G69&lt;=0,(C68*D68+E68)/C68,(F69*G69+C68*D68+E68)/(G69+C68)),IF(B68="卖出",IF(G69-C68&lt;=0,F69,(F69*G69-C68*D68+E68)/(G69-C68)),""))</f>
        <v/>
      </c>
      <c r="G68" s="8">
        <f>IF(B68="买入",G69+C68,IF(B68="卖出",MAX(0,G69-C68),""))</f>
        <v/>
      </c>
      <c r="H68">
        <f>IF(B68="",H69,IF(B68="买入",H69,IF(B68="卖出",IF(G68=0,0,H69+(D68-F68)*C68-E68),H69)))</f>
        <v/>
      </c>
    </row>
    <row r="69">
      <c r="A69" s="6" t="n"/>
      <c r="B69" s="7" t="n"/>
      <c r="C69" s="7" t="n"/>
      <c r="D69" s="7" t="n"/>
      <c r="E69" s="7" t="n"/>
      <c r="F69" s="8">
        <f>IF(B69="买入",IF(G70&lt;=0,(C69*D69+E69)/C69,(F70*G70+C69*D69+E69)/(G70+C69)),IF(B69="卖出",IF(G70-C69&lt;=0,F70,(F70*G70-C69*D69+E69)/(G70-C69)),""))</f>
        <v/>
      </c>
      <c r="G69" s="8">
        <f>IF(B69="买入",G70+C69,IF(B69="卖出",MAX(0,G70-C69),""))</f>
        <v/>
      </c>
      <c r="H69">
        <f>IF(B69="",H70,IF(B69="买入",H70,IF(B69="卖出",IF(G69=0,0,H70+(D69-F69)*C69-E69),H70)))</f>
        <v/>
      </c>
    </row>
    <row r="70">
      <c r="A70" s="6" t="n"/>
      <c r="B70" s="7" t="n"/>
      <c r="C70" s="7" t="n"/>
      <c r="D70" s="7" t="n"/>
      <c r="E70" s="7" t="n"/>
      <c r="F70" s="8">
        <f>IF(B70="买入",IF(G71&lt;=0,(C70*D70+E70)/C70,(F71*G71+C70*D70+E70)/(G71+C70)),IF(B70="卖出",IF(G71-C70&lt;=0,F71,(F71*G71-C70*D70+E70)/(G71-C70)),""))</f>
        <v/>
      </c>
      <c r="G70" s="8">
        <f>IF(B70="买入",G71+C70,IF(B70="卖出",MAX(0,G71-C70),""))</f>
        <v/>
      </c>
      <c r="H70">
        <f>IF(B70="",H71,IF(B70="买入",H71,IF(B70="卖出",IF(G70=0,0,H71+(D70-F70)*C70-E70),H71)))</f>
        <v/>
      </c>
    </row>
    <row r="71">
      <c r="A71" s="6" t="n"/>
      <c r="B71" s="7" t="n"/>
      <c r="C71" s="7" t="n"/>
      <c r="D71" s="7" t="n"/>
      <c r="E71" s="7" t="n"/>
      <c r="F71" s="8">
        <f>IF(B71="买入",IF(G72&lt;=0,(C71*D71+E71)/C71,(F72*G72+C71*D71+E71)/(G72+C71)),IF(B71="卖出",IF(G72-C71&lt;=0,F72,(F72*G72-C71*D71+E71)/(G72-C71)),""))</f>
        <v/>
      </c>
      <c r="G71" s="8">
        <f>IF(B71="买入",G72+C71,IF(B71="卖出",MAX(0,G72-C71),""))</f>
        <v/>
      </c>
      <c r="H71">
        <f>IF(B71="",H72,IF(B71="买入",H72,IF(B71="卖出",IF(G71=0,0,H72+(D71-F71)*C71-E71),H72)))</f>
        <v/>
      </c>
    </row>
    <row r="72">
      <c r="A72" s="6" t="n"/>
      <c r="B72" s="7" t="n"/>
      <c r="C72" s="7" t="n"/>
      <c r="D72" s="7" t="n"/>
      <c r="E72" s="7" t="n"/>
      <c r="F72" s="8">
        <f>IF(B72="买入",IF(G73&lt;=0,(C72*D72+E72)/C72,(F73*G73+C72*D72+E72)/(G73+C72)),IF(B72="卖出",IF(G73-C72&lt;=0,F73,(F73*G73-C72*D72+E72)/(G73-C72)),""))</f>
        <v/>
      </c>
      <c r="G72" s="8">
        <f>IF(B72="买入",G73+C72,IF(B72="卖出",MAX(0,G73-C72),""))</f>
        <v/>
      </c>
      <c r="H72">
        <f>IF(B72="",H73,IF(B72="买入",H73,IF(B72="卖出",IF(G72=0,0,H73+(D72-F72)*C72-E72),H73)))</f>
        <v/>
      </c>
    </row>
    <row r="73">
      <c r="A73" s="6" t="n"/>
      <c r="B73" s="7" t="n"/>
      <c r="C73" s="7" t="n"/>
      <c r="D73" s="7" t="n"/>
      <c r="E73" s="7" t="n"/>
      <c r="F73" s="8">
        <f>IF(B73="买入",IF(G74&lt;=0,(C73*D73+E73)/C73,(F74*G74+C73*D73+E73)/(G74+C73)),IF(B73="卖出",IF(G74-C73&lt;=0,F74,(F74*G74-C73*D73+E73)/(G74-C73)),""))</f>
        <v/>
      </c>
      <c r="G73" s="8">
        <f>IF(B73="买入",G74+C73,IF(B73="卖出",MAX(0,G74-C73),""))</f>
        <v/>
      </c>
      <c r="H73">
        <f>IF(B73="",H74,IF(B73="买入",H74,IF(B73="卖出",IF(G73=0,0,H74+(D73-F73)*C73-E73),H74)))</f>
        <v/>
      </c>
    </row>
    <row r="74">
      <c r="A74" s="6" t="n"/>
      <c r="B74" s="7" t="n"/>
      <c r="C74" s="7" t="n"/>
      <c r="D74" s="7" t="n"/>
      <c r="E74" s="7" t="n"/>
      <c r="F74" s="8">
        <f>IF(B74="买入",IF(G75&lt;=0,(C74*D74+E74)/C74,(F75*G75+C74*D74+E74)/(G75+C74)),IF(B74="卖出",IF(G75-C74&lt;=0,F75,(F75*G75-C74*D74+E74)/(G75-C74)),""))</f>
        <v/>
      </c>
      <c r="G74" s="8">
        <f>IF(B74="买入",G75+C74,IF(B74="卖出",MAX(0,G75-C74),""))</f>
        <v/>
      </c>
      <c r="H74">
        <f>IF(B74="",H75,IF(B74="买入",H75,IF(B74="卖出",IF(G74=0,0,H75+(D74-F74)*C74-E74),H75)))</f>
        <v/>
      </c>
    </row>
    <row r="75">
      <c r="A75" s="6" t="n"/>
      <c r="B75" s="7" t="n"/>
      <c r="C75" s="7" t="n"/>
      <c r="D75" s="7" t="n"/>
      <c r="E75" s="7" t="n"/>
      <c r="F75" s="8">
        <f>IF(B75="买入",IF(G76&lt;=0,(C75*D75+E75)/C75,(F76*G76+C75*D75+E75)/(G76+C75)),IF(B75="卖出",IF(G76-C75&lt;=0,F76,(F76*G76-C75*D75+E75)/(G76-C75)),""))</f>
        <v/>
      </c>
      <c r="G75" s="8">
        <f>IF(B75="买入",G76+C75,IF(B75="卖出",MAX(0,G76-C75),""))</f>
        <v/>
      </c>
      <c r="H75">
        <f>IF(B75="",H76,IF(B75="买入",H76,IF(B75="卖出",IF(G75=0,0,H76+(D75-F75)*C75-E75),H76)))</f>
        <v/>
      </c>
    </row>
    <row r="76">
      <c r="A76" s="6" t="n"/>
      <c r="B76" s="7" t="n"/>
      <c r="C76" s="7" t="n"/>
      <c r="D76" s="7" t="n"/>
      <c r="E76" s="7" t="n"/>
      <c r="F76" s="8">
        <f>IF(B76="买入",IF(G77&lt;=0,(C76*D76+E76)/C76,(F77*G77+C76*D76+E76)/(G77+C76)),IF(B76="卖出",IF(G77-C76&lt;=0,F77,(F77*G77-C76*D76+E76)/(G77-C76)),""))</f>
        <v/>
      </c>
      <c r="G76" s="8">
        <f>IF(B76="买入",G77+C76,IF(B76="卖出",MAX(0,G77-C76),""))</f>
        <v/>
      </c>
      <c r="H76">
        <f>IF(B76="",H77,IF(B76="买入",H77,IF(B76="卖出",IF(G76=0,0,H77+(D76-F76)*C76-E76),H77)))</f>
        <v/>
      </c>
    </row>
    <row r="77">
      <c r="A77" s="6" t="n"/>
      <c r="B77" s="7" t="n"/>
      <c r="C77" s="7" t="n"/>
      <c r="D77" s="7" t="n"/>
      <c r="E77" s="7" t="n"/>
      <c r="F77" s="8">
        <f>IF(B77="买入",IF(G78&lt;=0,(C77*D77+E77)/C77,(F78*G78+C77*D77+E77)/(G78+C77)),IF(B77="卖出",IF(G78-C77&lt;=0,F78,(F78*G78-C77*D77+E77)/(G78-C77)),""))</f>
        <v/>
      </c>
      <c r="G77" s="8">
        <f>IF(B77="买入",G78+C77,IF(B77="卖出",MAX(0,G78-C77),""))</f>
        <v/>
      </c>
      <c r="H77">
        <f>IF(B77="",H78,IF(B77="买入",H78,IF(B77="卖出",IF(G77=0,0,H78+(D77-F77)*C77-E77),H78)))</f>
        <v/>
      </c>
    </row>
    <row r="78">
      <c r="A78" s="6" t="n"/>
      <c r="B78" s="7" t="n"/>
      <c r="C78" s="7" t="n"/>
      <c r="D78" s="7" t="n"/>
      <c r="E78" s="7" t="n"/>
      <c r="F78" s="8">
        <f>IF(B78="买入",IF(G79&lt;=0,(C78*D78+E78)/C78,(F79*G79+C78*D78+E78)/(G79+C78)),IF(B78="卖出",IF(G79-C78&lt;=0,F79,(F79*G79-C78*D78+E78)/(G79-C78)),""))</f>
        <v/>
      </c>
      <c r="G78" s="8">
        <f>IF(B78="买入",G79+C78,IF(B78="卖出",MAX(0,G79-C78),""))</f>
        <v/>
      </c>
      <c r="H78">
        <f>IF(B78="",H79,IF(B78="买入",H79,IF(B78="卖出",IF(G78=0,0,H79+(D78-F78)*C78-E78),H79)))</f>
        <v/>
      </c>
    </row>
    <row r="79">
      <c r="A79" s="6" t="n"/>
      <c r="B79" s="7" t="n"/>
      <c r="C79" s="7" t="n"/>
      <c r="D79" s="7" t="n"/>
      <c r="E79" s="7" t="n"/>
      <c r="F79" s="8">
        <f>IF(B79="买入",IF(G80&lt;=0,(C79*D79+E79)/C79,(F80*G80+C79*D79+E79)/(G80+C79)),IF(B79="卖出",IF(G80-C79&lt;=0,F80,(F80*G80-C79*D79+E79)/(G80-C79)),""))</f>
        <v/>
      </c>
      <c r="G79" s="8">
        <f>IF(B79="买入",G80+C79,IF(B79="卖出",MAX(0,G80-C79),""))</f>
        <v/>
      </c>
      <c r="H79">
        <f>IF(B79="",H80,IF(B79="买入",H80,IF(B79="卖出",IF(G79=0,0,H80+(D79-F79)*C79-E79),H80)))</f>
        <v/>
      </c>
    </row>
    <row r="80">
      <c r="A80" s="6" t="n"/>
      <c r="B80" s="7" t="n"/>
      <c r="C80" s="7" t="n"/>
      <c r="D80" s="7" t="n"/>
      <c r="E80" s="7" t="n"/>
      <c r="F80" s="8">
        <f>IF(B80="买入",IF(G81&lt;=0,(C80*D80+E80)/C80,(F81*G81+C80*D80+E80)/(G81+C80)),IF(B80="卖出",IF(G81-C80&lt;=0,F81,(F81*G81-C80*D80+E80)/(G81-C80)),""))</f>
        <v/>
      </c>
      <c r="G80" s="8">
        <f>IF(B80="买入",G81+C80,IF(B80="卖出",MAX(0,G81-C80),""))</f>
        <v/>
      </c>
      <c r="H80">
        <f>IF(B80="",H81,IF(B80="买入",H81,IF(B80="卖出",IF(G80=0,0,H81+(D80-F80)*C80-E80),H81)))</f>
        <v/>
      </c>
    </row>
    <row r="81">
      <c r="A81" s="6" t="n"/>
      <c r="B81" s="7" t="n"/>
      <c r="C81" s="7" t="n"/>
      <c r="D81" s="7" t="n"/>
      <c r="E81" s="7" t="n"/>
      <c r="F81" s="8">
        <f>IF(B81="买入",IF(G82&lt;=0,(C81*D81+E81)/C81,(F82*G82+C81*D81+E81)/(G82+C81)),IF(B81="卖出",IF(G82-C81&lt;=0,F82,(F82*G82-C81*D81+E81)/(G82-C81)),""))</f>
        <v/>
      </c>
      <c r="G81" s="8">
        <f>IF(B81="买入",G82+C81,IF(B81="卖出",MAX(0,G82-C81),""))</f>
        <v/>
      </c>
      <c r="H81">
        <f>IF(B81="",H82,IF(B81="买入",H82,IF(B81="卖出",IF(G81=0,0,H82+(D81-F81)*C81-E81),H82)))</f>
        <v/>
      </c>
    </row>
    <row r="82">
      <c r="A82" s="6" t="n"/>
      <c r="B82" s="7" t="n"/>
      <c r="C82" s="7" t="n"/>
      <c r="D82" s="7" t="n"/>
      <c r="E82" s="7" t="n"/>
      <c r="F82" s="8">
        <f>IF(B82="买入",IF(G83&lt;=0,(C82*D82+E82)/C82,(F83*G83+C82*D82+E82)/(G83+C82)),IF(B82="卖出",IF(G83-C82&lt;=0,F83,(F83*G83-C82*D82+E82)/(G83-C82)),""))</f>
        <v/>
      </c>
      <c r="G82" s="8">
        <f>IF(B82="买入",G83+C82,IF(B82="卖出",MAX(0,G83-C82),""))</f>
        <v/>
      </c>
      <c r="H82">
        <f>IF(B82="",H83,IF(B82="买入",H83,IF(B82="卖出",IF(G82=0,0,H83+(D82-F82)*C82-E82),H83)))</f>
        <v/>
      </c>
    </row>
    <row r="83">
      <c r="A83" s="6" t="n"/>
      <c r="B83" s="7" t="n"/>
      <c r="C83" s="7" t="n"/>
      <c r="D83" s="7" t="n"/>
      <c r="E83" s="7" t="n"/>
      <c r="F83" s="8">
        <f>IF(B83="买入",IF(G84&lt;=0,(C83*D83+E83)/C83,(F84*G84+C83*D83+E83)/(G84+C83)),IF(B83="卖出",IF(G84-C83&lt;=0,F84,(F84*G84-C83*D83+E83)/(G84-C83)),""))</f>
        <v/>
      </c>
      <c r="G83" s="8">
        <f>IF(B83="买入",G84+C83,IF(B83="卖出",MAX(0,G84-C83),""))</f>
        <v/>
      </c>
      <c r="H83">
        <f>IF(B83="",H84,IF(B83="买入",H84,IF(B83="卖出",IF(G83=0,0,H84+(D83-F83)*C83-E83),H84)))</f>
        <v/>
      </c>
    </row>
    <row r="84">
      <c r="A84" s="6" t="n"/>
      <c r="B84" s="7" t="n"/>
      <c r="C84" s="7" t="n"/>
      <c r="D84" s="7" t="n"/>
      <c r="E84" s="7" t="n"/>
      <c r="F84" s="8">
        <f>IF(B84="买入",IF(G85&lt;=0,(C84*D84+E84)/C84,(F85*G85+C84*D84+E84)/(G85+C84)),IF(B84="卖出",IF(G85-C84&lt;=0,F85,(F85*G85-C84*D84+E84)/(G85-C84)),""))</f>
        <v/>
      </c>
      <c r="G84" s="8">
        <f>IF(B84="买入",G85+C84,IF(B84="卖出",MAX(0,G85-C84),""))</f>
        <v/>
      </c>
      <c r="H84">
        <f>IF(B84="",H85,IF(B84="买入",H85,IF(B84="卖出",IF(G84=0,0,H85+(D84-F84)*C84-E84),H85)))</f>
        <v/>
      </c>
    </row>
    <row r="85">
      <c r="A85" s="6" t="n"/>
      <c r="B85" s="7" t="n"/>
      <c r="C85" s="7" t="n"/>
      <c r="D85" s="7" t="n"/>
      <c r="E85" s="7" t="n"/>
      <c r="F85" s="8">
        <f>IF(B85="买入",IF(G86&lt;=0,(C85*D85+E85)/C85,(F86*G86+C85*D85+E85)/(G86+C85)),IF(B85="卖出",IF(G86-C85&lt;=0,F86,(F86*G86-C85*D85+E85)/(G86-C85)),""))</f>
        <v/>
      </c>
      <c r="G85" s="8">
        <f>IF(B85="买入",G86+C85,IF(B85="卖出",MAX(0,G86-C85),""))</f>
        <v/>
      </c>
      <c r="H85">
        <f>IF(B85="",H86,IF(B85="买入",H86,IF(B85="卖出",IF(G85=0,0,H86+(D85-F85)*C85-E85),H86)))</f>
        <v/>
      </c>
    </row>
    <row r="86">
      <c r="A86" s="6" t="n"/>
      <c r="B86" s="7" t="n"/>
      <c r="C86" s="7" t="n"/>
      <c r="D86" s="7" t="n"/>
      <c r="E86" s="7" t="n"/>
      <c r="F86" s="8">
        <f>IF(B86="买入",IF(G87&lt;=0,(C86*D86+E86)/C86,(F87*G87+C86*D86+E86)/(G87+C86)),IF(B86="卖出",IF(G87-C86&lt;=0,F87,(F87*G87-C86*D86+E86)/(G87-C86)),""))</f>
        <v/>
      </c>
      <c r="G86" s="8">
        <f>IF(B86="买入",G87+C86,IF(B86="卖出",MAX(0,G87-C86),""))</f>
        <v/>
      </c>
      <c r="H86">
        <f>IF(B86="",H87,IF(B86="买入",H87,IF(B86="卖出",IF(G86=0,0,H87+(D86-F86)*C86-E86),H87)))</f>
        <v/>
      </c>
    </row>
    <row r="87">
      <c r="A87" s="6" t="n"/>
      <c r="B87" s="7" t="n"/>
      <c r="C87" s="7" t="n"/>
      <c r="D87" s="7" t="n"/>
      <c r="E87" s="7" t="n"/>
      <c r="F87" s="8">
        <f>IF(B87="买入",IF(G88&lt;=0,(C87*D87+E87)/C87,(F88*G88+C87*D87+E87)/(G88+C87)),IF(B87="卖出",IF(G88-C87&lt;=0,F88,(F88*G88-C87*D87+E87)/(G88-C87)),""))</f>
        <v/>
      </c>
      <c r="G87" s="8">
        <f>IF(B87="买入",G88+C87,IF(B87="卖出",MAX(0,G88-C87),""))</f>
        <v/>
      </c>
      <c r="H87">
        <f>IF(B87="",H88,IF(B87="买入",H88,IF(B87="卖出",IF(G87=0,0,H88+(D87-F87)*C87-E87),H88)))</f>
        <v/>
      </c>
    </row>
    <row r="88">
      <c r="A88" s="6" t="n"/>
      <c r="B88" s="7" t="n"/>
      <c r="C88" s="7" t="n"/>
      <c r="D88" s="7" t="n"/>
      <c r="E88" s="7" t="n"/>
      <c r="F88" s="8">
        <f>IF(B88="买入",IF(G89&lt;=0,(C88*D88+E88)/C88,(F89*G89+C88*D88+E88)/(G89+C88)),IF(B88="卖出",IF(G89-C88&lt;=0,F89,(F89*G89-C88*D88+E88)/(G89-C88)),""))</f>
        <v/>
      </c>
      <c r="G88" s="8">
        <f>IF(B88="买入",G89+C88,IF(B88="卖出",MAX(0,G89-C88),""))</f>
        <v/>
      </c>
      <c r="H88">
        <f>IF(B88="",H89,IF(B88="买入",H89,IF(B88="卖出",IF(G88=0,0,H89+(D88-F88)*C88-E88),H89)))</f>
        <v/>
      </c>
    </row>
    <row r="89">
      <c r="A89" s="6" t="n"/>
      <c r="B89" s="7" t="n"/>
      <c r="C89" s="7" t="n"/>
      <c r="D89" s="7" t="n"/>
      <c r="E89" s="7" t="n"/>
      <c r="F89" s="8">
        <f>IF(B89="买入",IF(G90&lt;=0,(C89*D89+E89)/C89,(F90*G90+C89*D89+E89)/(G90+C89)),IF(B89="卖出",IF(G90-C89&lt;=0,F90,(F90*G90-C89*D89+E89)/(G90-C89)),""))</f>
        <v/>
      </c>
      <c r="G89" s="8">
        <f>IF(B89="买入",G90+C89,IF(B89="卖出",MAX(0,G90-C89),""))</f>
        <v/>
      </c>
      <c r="H89">
        <f>IF(B89="",H90,IF(B89="买入",H90,IF(B89="卖出",IF(G89=0,0,H90+(D89-F89)*C89-E89),H90)))</f>
        <v/>
      </c>
    </row>
    <row r="90">
      <c r="A90" s="6" t="n"/>
      <c r="B90" s="7" t="n"/>
      <c r="C90" s="7" t="n"/>
      <c r="D90" s="7" t="n"/>
      <c r="E90" s="7" t="n"/>
      <c r="F90" s="8">
        <f>IF(B90="买入",IF(G91&lt;=0,(C90*D90+E90)/C90,(F91*G91+C90*D90+E90)/(G91+C90)),IF(B90="卖出",IF(G91-C90&lt;=0,F91,(F91*G91-C90*D90+E90)/(G91-C90)),""))</f>
        <v/>
      </c>
      <c r="G90" s="8">
        <f>IF(B90="买入",G91+C90,IF(B90="卖出",MAX(0,G91-C90),""))</f>
        <v/>
      </c>
      <c r="H90">
        <f>IF(B90="",H91,IF(B90="买入",H91,IF(B90="卖出",IF(G90=0,0,H91+(D90-F90)*C90-E90),H91)))</f>
        <v/>
      </c>
    </row>
    <row r="91">
      <c r="A91" s="6" t="n"/>
      <c r="B91" s="7" t="n"/>
      <c r="C91" s="7" t="n"/>
      <c r="D91" s="7" t="n"/>
      <c r="E91" s="7" t="n"/>
      <c r="F91" s="8">
        <f>IF(B91="买入",IF(G92&lt;=0,(C91*D91+E91)/C91,(F92*G92+C91*D91+E91)/(G92+C91)),IF(B91="卖出",IF(G92-C91&lt;=0,F92,(F92*G92-C91*D91+E91)/(G92-C91)),""))</f>
        <v/>
      </c>
      <c r="G91" s="8">
        <f>IF(B91="买入",G92+C91,IF(B91="卖出",MAX(0,G92-C91),""))</f>
        <v/>
      </c>
      <c r="H91">
        <f>IF(B91="",H92,IF(B91="买入",H92,IF(B91="卖出",IF(G91=0,0,H92+(D91-F91)*C91-E91),H92)))</f>
        <v/>
      </c>
    </row>
    <row r="92">
      <c r="A92" s="6" t="n"/>
      <c r="B92" s="7" t="n"/>
      <c r="C92" s="7" t="n"/>
      <c r="D92" s="7" t="n"/>
      <c r="E92" s="7" t="n"/>
      <c r="F92" s="8">
        <f>IF(B92="买入",IF(G93&lt;=0,(C92*D92+E92)/C92,(F93*G93+C92*D92+E92)/(G93+C92)),IF(B92="卖出",IF(G93-C92&lt;=0,F93,(F93*G93-C92*D92+E92)/(G93-C92)),""))</f>
        <v/>
      </c>
      <c r="G92" s="8">
        <f>IF(B92="买入",G93+C92,IF(B92="卖出",MAX(0,G93-C92),""))</f>
        <v/>
      </c>
      <c r="H92">
        <f>IF(B92="",H93,IF(B92="买入",H93,IF(B92="卖出",IF(G92=0,0,H93+(D92-F92)*C92-E92),H93)))</f>
        <v/>
      </c>
    </row>
    <row r="93">
      <c r="A93" s="6" t="n"/>
      <c r="B93" s="7" t="n"/>
      <c r="C93" s="7" t="n"/>
      <c r="D93" s="7" t="n"/>
      <c r="E93" s="7" t="n"/>
      <c r="F93" s="8">
        <f>IF(B93="买入",IF(G94&lt;=0,(C93*D93+E93)/C93,(F94*G94+C93*D93+E93)/(G94+C93)),IF(B93="卖出",IF(G94-C93&lt;=0,F94,(F94*G94-C93*D93+E93)/(G94-C93)),""))</f>
        <v/>
      </c>
      <c r="G93" s="8">
        <f>IF(B93="买入",G94+C93,IF(B93="卖出",MAX(0,G94-C93),""))</f>
        <v/>
      </c>
      <c r="H93">
        <f>IF(B93="",H94,IF(B93="买入",H94,IF(B93="卖出",IF(G93=0,0,H94+(D93-F93)*C93-E93),H94)))</f>
        <v/>
      </c>
    </row>
    <row r="94">
      <c r="A94" s="6" t="n"/>
      <c r="B94" s="7" t="n"/>
      <c r="C94" s="7" t="n"/>
      <c r="D94" s="7" t="n"/>
      <c r="E94" s="7" t="n"/>
      <c r="F94" s="8">
        <f>IF(B94="买入",IF(G95&lt;=0,(C94*D94+E94)/C94,(F95*G95+C94*D94+E94)/(G95+C94)),IF(B94="卖出",IF(G95-C94&lt;=0,F95,(F95*G95-C94*D94+E94)/(G95-C94)),""))</f>
        <v/>
      </c>
      <c r="G94" s="8">
        <f>IF(B94="买入",G95+C94,IF(B94="卖出",MAX(0,G95-C94),""))</f>
        <v/>
      </c>
      <c r="H94">
        <f>IF(B94="",H95,IF(B94="买入",H95,IF(B94="卖出",IF(G94=0,0,H95+(D94-F94)*C94-E94),H95)))</f>
        <v/>
      </c>
    </row>
    <row r="95">
      <c r="A95" s="6" t="n"/>
      <c r="B95" s="7" t="n"/>
      <c r="C95" s="7" t="n"/>
      <c r="D95" s="7" t="n"/>
      <c r="E95" s="7" t="n"/>
      <c r="F95" s="8">
        <f>IF(B95="买入",IF(G96&lt;=0,(C95*D95+E95)/C95,(F96*G96+C95*D95+E95)/(G96+C95)),IF(B95="卖出",IF(G96-C95&lt;=0,F96,(F96*G96-C95*D95+E95)/(G96-C95)),""))</f>
        <v/>
      </c>
      <c r="G95" s="8">
        <f>IF(B95="买入",G96+C95,IF(B95="卖出",MAX(0,G96-C95),""))</f>
        <v/>
      </c>
      <c r="H95">
        <f>IF(B95="",H96,IF(B95="买入",H96,IF(B95="卖出",IF(G95=0,0,H96+(D95-F95)*C95-E95),H96)))</f>
        <v/>
      </c>
    </row>
    <row r="96">
      <c r="A96" s="6" t="n"/>
      <c r="B96" s="7" t="n"/>
      <c r="C96" s="7" t="n"/>
      <c r="D96" s="7" t="n"/>
      <c r="E96" s="7" t="n"/>
      <c r="F96" s="8">
        <f>IF(B96="买入",IF(G97&lt;=0,(C96*D96+E96)/C96,(F97*G97+C96*D96+E96)/(G97+C96)),IF(B96="卖出",IF(G97-C96&lt;=0,F97,(F97*G97-C96*D96+E96)/(G97-C96)),""))</f>
        <v/>
      </c>
      <c r="G96" s="8">
        <f>IF(B96="买入",G97+C96,IF(B96="卖出",MAX(0,G97-C96),""))</f>
        <v/>
      </c>
      <c r="H96">
        <f>IF(B96="",H97,IF(B96="买入",H97,IF(B96="卖出",IF(G96=0,0,H97+(D96-F96)*C96-E96),H97)))</f>
        <v/>
      </c>
    </row>
    <row r="97">
      <c r="A97" s="6" t="n"/>
      <c r="B97" s="7" t="n"/>
      <c r="C97" s="7" t="n"/>
      <c r="D97" s="7" t="n"/>
      <c r="E97" s="7" t="n"/>
      <c r="F97" s="8">
        <f>IF(B97="买入",IF(G98&lt;=0,(C97*D97+E97)/C97,(F98*G98+C97*D97+E97)/(G98+C97)),IF(B97="卖出",IF(G98-C97&lt;=0,F98,(F98*G98-C97*D97+E97)/(G98-C97)),""))</f>
        <v/>
      </c>
      <c r="G97" s="8">
        <f>IF(B97="买入",G98+C97,IF(B97="卖出",MAX(0,G98-C97),""))</f>
        <v/>
      </c>
      <c r="H97">
        <f>IF(B97="",H98,IF(B97="买入",H98,IF(B97="卖出",IF(G97=0,0,H98+(D97-F97)*C97-E97),H98)))</f>
        <v/>
      </c>
    </row>
    <row r="98">
      <c r="A98" s="6" t="n"/>
      <c r="B98" s="7" t="n"/>
      <c r="C98" s="7" t="n"/>
      <c r="D98" s="7" t="n"/>
      <c r="E98" s="7" t="n"/>
      <c r="F98" s="8">
        <f>IF(B98="买入",IF(G99&lt;=0,(C98*D98+E98)/C98,(F99*G99+C98*D98+E98)/(G99+C98)),IF(B98="卖出",IF(G99-C98&lt;=0,F99,(F99*G99-C98*D98+E98)/(G99-C98)),""))</f>
        <v/>
      </c>
      <c r="G98" s="8">
        <f>IF(B98="买入",G99+C98,IF(B98="卖出",MAX(0,G99-C98),""))</f>
        <v/>
      </c>
      <c r="H98">
        <f>IF(B98="",H99,IF(B98="买入",H99,IF(B98="卖出",IF(G98=0,0,H99+(D98-F98)*C98-E98),H99)))</f>
        <v/>
      </c>
    </row>
    <row r="99">
      <c r="A99" s="6" t="n"/>
      <c r="B99" s="7" t="n"/>
      <c r="C99" s="7" t="n"/>
      <c r="D99" s="7" t="n"/>
      <c r="E99" s="7" t="n"/>
      <c r="F99" s="8">
        <f>IF(B99="买入",IF(G100&lt;=0,(C99*D99+E99)/C99,(F100*G100+C99*D99+E99)/(G100+C99)),IF(B99="卖出",IF(G100-C99&lt;=0,F100,(F100*G100-C99*D99+E99)/(G100-C99)),""))</f>
        <v/>
      </c>
      <c r="G99" s="8">
        <f>IF(B99="买入",G100+C99,IF(B99="卖出",MAX(0,G100-C99),""))</f>
        <v/>
      </c>
      <c r="H99">
        <f>IF(B99="",H100,IF(B99="买入",H100,IF(B99="卖出",IF(G99=0,0,H100+(D99-F99)*C99-E99),H100)))</f>
        <v/>
      </c>
    </row>
    <row r="100">
      <c r="A100" s="6" t="n"/>
      <c r="B100" s="7" t="n"/>
      <c r="C100" s="7" t="n"/>
      <c r="D100" s="7" t="n"/>
      <c r="E100" s="7" t="n"/>
      <c r="F100" s="8">
        <f>IF(B100="买入",IF(G101&lt;=0,(C100*D100+E100)/C100,(F101*G101+C100*D100+E100)/(G101+C100)),IF(B100="卖出",IF(G101-C100&lt;=0,F101,(F101*G101-C100*D100+E100)/(G101-C100)),""))</f>
        <v/>
      </c>
      <c r="G100" s="8">
        <f>IF(B100="买入",G101+C100,IF(B100="卖出",MAX(0,G101-C100),""))</f>
        <v/>
      </c>
      <c r="H100">
        <f>IF(B100="",H101,IF(B100="买入",H101,IF(B100="卖出",IF(G100=0,0,H101+(D100-F100)*C100-E100),H101)))</f>
        <v/>
      </c>
    </row>
    <row r="101">
      <c r="A101" s="6" t="n"/>
      <c r="B101" s="7" t="n"/>
      <c r="C101" s="7" t="n"/>
      <c r="D101" s="7" t="n"/>
      <c r="E101" s="7" t="n"/>
      <c r="F101" s="8">
        <f>IF(B101="买入",IF(G102&lt;=0,(C101*D101+E101)/C101,(F102*G102+C101*D101+E101)/(G102+C101)),IF(B101="卖出",IF(G102-C101&lt;=0,F102,(F102*G102-C101*D101+E101)/(G102-C101)),""))</f>
        <v/>
      </c>
      <c r="G101" s="8">
        <f>IF(B101="买入",G102+C101,IF(B101="卖出",MAX(0,G102-C101),""))</f>
        <v/>
      </c>
      <c r="H101">
        <f>IF(B101="",0,IF(B101="买入",0,IF(B101="卖出",IF(G101=0,0,(D101-F101)*C101-E101),0)))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5">
    <mergeCell ref="A1:G1"/>
    <mergeCell ref="A3:G3"/>
    <mergeCell ref="A4:G4"/>
    <mergeCell ref="A2:G2"/>
    <mergeCell ref="A5:G5"/>
  </mergeCells>
  <conditionalFormatting sqref="A7:G101">
    <cfRule type="expression" priority="1" dxfId="0">
      <formula>COUNTA($A7:$E7)&gt;0</formula>
    </cfRule>
  </conditionalFormatting>
  <conditionalFormatting sqref="B7:B101">
    <cfRule type="expression" priority="2" dxfId="1">
      <formula>B7="买入"</formula>
    </cfRule>
    <cfRule type="expression" priority="3" dxfId="2">
      <formula>B7="卖出"</formula>
    </cfRule>
  </conditionalFormatting>
  <dataValidations count="1">
    <dataValidation sqref="B7:B101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hidden="1" width="13" customWidth="1" min="8" max="8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🟢 买入成本 = (原成本×原股数 + 买入金额 + 手续费) ÷ (原股数 + 买入股数)  |  🔴 卖出时成本不变，清仓后重新买入按新买入价计算</t>
        </is>
      </c>
    </row>
    <row r="4" ht="12" customHeight="1">
      <c r="A4" s="2" t="inlineStr">
        <is>
          <t>--------------------------------------------------------------------------------</t>
        </is>
      </c>
    </row>
    <row r="5" ht="22" customHeight="1">
      <c r="A5" s="4">
        <f>IF(COUNTA(B7:B101)=0,"","⚖️ 盈亏平衡点: $"&amp;TEXT(F7-IFERROR(H7/G7,0),"#,##0.00")&amp;"  (差价: $"&amp;TEXT(-IFERROR(H7/G7,0),"#,##0.00")&amp;")")</f>
        <v/>
      </c>
    </row>
    <row r="6" ht="22" customHeight="1">
      <c r="A6" s="5" t="inlineStr">
        <is>
          <t>日期</t>
        </is>
      </c>
      <c r="B6" s="5" t="inlineStr">
        <is>
          <t>操作</t>
        </is>
      </c>
      <c r="C6" s="5" t="inlineStr">
        <is>
          <t>数量</t>
        </is>
      </c>
      <c r="D6" s="5" t="inlineStr">
        <is>
          <t>价格</t>
        </is>
      </c>
      <c r="E6" s="5" t="inlineStr">
        <is>
          <t>手续费</t>
        </is>
      </c>
      <c r="F6" s="5" t="inlineStr">
        <is>
          <t>持仓成本</t>
        </is>
      </c>
      <c r="G6" s="5" t="inlineStr">
        <is>
          <t>累计持仓</t>
        </is>
      </c>
    </row>
    <row r="7">
      <c r="A7" s="6" t="inlineStr">
        <is>
          <t>2026-05-20</t>
        </is>
      </c>
      <c r="B7" s="7" t="inlineStr">
        <is>
          <t>买入</t>
        </is>
      </c>
      <c r="C7" s="7" t="n">
        <v>40</v>
      </c>
      <c r="D7" s="7" t="n">
        <v>25.935</v>
      </c>
      <c r="E7" s="7" t="n">
        <v>0</v>
      </c>
      <c r="F7" s="8">
        <f>IF(B7="买入",(C7*D7+E7)/C7,"")</f>
        <v/>
      </c>
      <c r="G7" s="8">
        <f>IF(B7="买入",C7,IF(B7="卖出",-C7,""))</f>
        <v/>
      </c>
      <c r="H7">
        <f>IF(B7="买入",0,IF(B7="卖出",IF(G7=0,0,(D7-F7)*C7-E7),0))</f>
        <v/>
      </c>
    </row>
    <row r="8">
      <c r="A8" s="6" t="n"/>
      <c r="B8" s="7" t="n"/>
      <c r="C8" s="7" t="n"/>
      <c r="D8" s="7" t="n"/>
      <c r="E8" s="7" t="n"/>
      <c r="F8" s="8">
        <f>IF(B8="买入",IF(G9&lt;=0,(C8*D8+E8)/C8,(F9*G9+C8*D8+E8)/(G9+C8)),IF(B8="卖出",IF(G9-C8&lt;=0,F9,(F9*G9-C8*D8+E8)/(G9-C8)),""))</f>
        <v/>
      </c>
      <c r="G8" s="8">
        <f>IF(B8="买入",G9+C8,IF(B8="卖出",MAX(0,G9-C8),""))</f>
        <v/>
      </c>
      <c r="H8">
        <f>IF(B8="",H9,IF(B8="买入",H9,IF(B8="卖出",IF(G8=0,0,H9+(D8-F8)*C8-E8),H9)))</f>
        <v/>
      </c>
    </row>
    <row r="9">
      <c r="A9" s="6" t="n"/>
      <c r="B9" s="7" t="n"/>
      <c r="C9" s="7" t="n"/>
      <c r="D9" s="7" t="n"/>
      <c r="E9" s="7" t="n"/>
      <c r="F9" s="8">
        <f>IF(B9="买入",IF(G10&lt;=0,(C9*D9+E9)/C9,(F10*G10+C9*D9+E9)/(G10+C9)),IF(B9="卖出",IF(G10-C9&lt;=0,F10,(F10*G10-C9*D9+E9)/(G10-C9)),""))</f>
        <v/>
      </c>
      <c r="G9" s="8">
        <f>IF(B9="买入",G10+C9,IF(B9="卖出",MAX(0,G10-C9),""))</f>
        <v/>
      </c>
      <c r="H9">
        <f>IF(B9="",H10,IF(B9="买入",H10,IF(B9="卖出",IF(G9=0,0,H10+(D9-F9)*C9-E9),H10)))</f>
        <v/>
      </c>
    </row>
    <row r="10">
      <c r="A10" s="6" t="n"/>
      <c r="B10" s="7" t="n"/>
      <c r="C10" s="7" t="n"/>
      <c r="D10" s="7" t="n"/>
      <c r="E10" s="7" t="n"/>
      <c r="F10" s="8">
        <f>IF(B10="买入",IF(G11&lt;=0,(C10*D10+E10)/C10,(F11*G11+C10*D10+E10)/(G11+C10)),IF(B10="卖出",IF(G11-C10&lt;=0,F11,(F11*G11-C10*D10+E10)/(G11-C10)),""))</f>
        <v/>
      </c>
      <c r="G10" s="8">
        <f>IF(B10="买入",G11+C10,IF(B10="卖出",MAX(0,G11-C10),""))</f>
        <v/>
      </c>
      <c r="H10">
        <f>IF(B10="",H11,IF(B10="买入",H11,IF(B10="卖出",IF(G10=0,0,H11+(D10-F10)*C10-E10),H11)))</f>
        <v/>
      </c>
    </row>
    <row r="11">
      <c r="A11" s="6" t="n"/>
      <c r="B11" s="7" t="n"/>
      <c r="C11" s="7" t="n"/>
      <c r="D11" s="7" t="n"/>
      <c r="E11" s="7" t="n"/>
      <c r="F11" s="8">
        <f>IF(B11="买入",IF(G12&lt;=0,(C11*D11+E11)/C11,(F12*G12+C11*D11+E11)/(G12+C11)),IF(B11="卖出",IF(G12-C11&lt;=0,F12,(F12*G12-C11*D11+E11)/(G12-C11)),""))</f>
        <v/>
      </c>
      <c r="G11" s="8">
        <f>IF(B11="买入",G12+C11,IF(B11="卖出",MAX(0,G12-C11),""))</f>
        <v/>
      </c>
      <c r="H11">
        <f>IF(B11="",H12,IF(B11="买入",H12,IF(B11="卖出",IF(G11=0,0,H12+(D11-F11)*C11-E11),H12)))</f>
        <v/>
      </c>
    </row>
    <row r="12">
      <c r="A12" s="6" t="n"/>
      <c r="B12" s="7" t="n"/>
      <c r="C12" s="7" t="n"/>
      <c r="D12" s="7" t="n"/>
      <c r="E12" s="7" t="n"/>
      <c r="F12" s="8">
        <f>IF(B12="买入",IF(G13&lt;=0,(C12*D12+E12)/C12,(F13*G13+C12*D12+E12)/(G13+C12)),IF(B12="卖出",IF(G13-C12&lt;=0,F13,(F13*G13-C12*D12+E12)/(G13-C12)),""))</f>
        <v/>
      </c>
      <c r="G12" s="8">
        <f>IF(B12="买入",G13+C12,IF(B12="卖出",MAX(0,G13-C12),""))</f>
        <v/>
      </c>
      <c r="H12">
        <f>IF(B12="",H13,IF(B12="买入",H13,IF(B12="卖出",IF(G12=0,0,H13+(D12-F12)*C12-E12),H13)))</f>
        <v/>
      </c>
    </row>
    <row r="13">
      <c r="A13" s="6" t="n"/>
      <c r="B13" s="7" t="n"/>
      <c r="C13" s="7" t="n"/>
      <c r="D13" s="7" t="n"/>
      <c r="E13" s="7" t="n"/>
      <c r="F13" s="8">
        <f>IF(B13="买入",IF(G14&lt;=0,(C13*D13+E13)/C13,(F14*G14+C13*D13+E13)/(G14+C13)),IF(B13="卖出",IF(G14-C13&lt;=0,F14,(F14*G14-C13*D13+E13)/(G14-C13)),""))</f>
        <v/>
      </c>
      <c r="G13" s="8">
        <f>IF(B13="买入",G14+C13,IF(B13="卖出",MAX(0,G14-C13),""))</f>
        <v/>
      </c>
      <c r="H13">
        <f>IF(B13="",H14,IF(B13="买入",H14,IF(B13="卖出",IF(G13=0,0,H14+(D13-F13)*C13-E13),H14)))</f>
        <v/>
      </c>
    </row>
    <row r="14">
      <c r="A14" s="6" t="n"/>
      <c r="B14" s="7" t="n"/>
      <c r="C14" s="7" t="n"/>
      <c r="D14" s="7" t="n"/>
      <c r="E14" s="7" t="n"/>
      <c r="F14" s="8">
        <f>IF(B14="买入",IF(G15&lt;=0,(C14*D14+E14)/C14,(F15*G15+C14*D14+E14)/(G15+C14)),IF(B14="卖出",IF(G15-C14&lt;=0,F15,(F15*G15-C14*D14+E14)/(G15-C14)),""))</f>
        <v/>
      </c>
      <c r="G14" s="8">
        <f>IF(B14="买入",G15+C14,IF(B14="卖出",MAX(0,G15-C14),""))</f>
        <v/>
      </c>
      <c r="H14">
        <f>IF(B14="",H15,IF(B14="买入",H15,IF(B14="卖出",IF(G14=0,0,H15+(D14-F14)*C14-E14),H15)))</f>
        <v/>
      </c>
    </row>
    <row r="15">
      <c r="A15" s="6" t="n"/>
      <c r="B15" s="7" t="n"/>
      <c r="C15" s="7" t="n"/>
      <c r="D15" s="7" t="n"/>
      <c r="E15" s="7" t="n"/>
      <c r="F15" s="8">
        <f>IF(B15="买入",IF(G16&lt;=0,(C15*D15+E15)/C15,(F16*G16+C15*D15+E15)/(G16+C15)),IF(B15="卖出",IF(G16-C15&lt;=0,F16,(F16*G16-C15*D15+E15)/(G16-C15)),""))</f>
        <v/>
      </c>
      <c r="G15" s="8">
        <f>IF(B15="买入",G16+C15,IF(B15="卖出",MAX(0,G16-C15),""))</f>
        <v/>
      </c>
      <c r="H15">
        <f>IF(B15="",H16,IF(B15="买入",H16,IF(B15="卖出",IF(G15=0,0,H16+(D15-F15)*C15-E15),H16)))</f>
        <v/>
      </c>
    </row>
    <row r="16">
      <c r="A16" s="6" t="n"/>
      <c r="B16" s="7" t="n"/>
      <c r="C16" s="7" t="n"/>
      <c r="D16" s="7" t="n"/>
      <c r="E16" s="7" t="n"/>
      <c r="F16" s="8">
        <f>IF(B16="买入",IF(G17&lt;=0,(C16*D16+E16)/C16,(F17*G17+C16*D16+E16)/(G17+C16)),IF(B16="卖出",IF(G17-C16&lt;=0,F17,(F17*G17-C16*D16+E16)/(G17-C16)),""))</f>
        <v/>
      </c>
      <c r="G16" s="8">
        <f>IF(B16="买入",G17+C16,IF(B16="卖出",MAX(0,G17-C16),""))</f>
        <v/>
      </c>
      <c r="H16">
        <f>IF(B16="",H17,IF(B16="买入",H17,IF(B16="卖出",IF(G16=0,0,H17+(D16-F16)*C16-E16),H17)))</f>
        <v/>
      </c>
    </row>
    <row r="17">
      <c r="A17" s="6" t="n"/>
      <c r="B17" s="7" t="n"/>
      <c r="C17" s="7" t="n"/>
      <c r="D17" s="7" t="n"/>
      <c r="E17" s="7" t="n"/>
      <c r="F17" s="8">
        <f>IF(B17="买入",IF(G18&lt;=0,(C17*D17+E17)/C17,(F18*G18+C17*D17+E17)/(G18+C17)),IF(B17="卖出",IF(G18-C17&lt;=0,F18,(F18*G18-C17*D17+E17)/(G18-C17)),""))</f>
        <v/>
      </c>
      <c r="G17" s="8">
        <f>IF(B17="买入",G18+C17,IF(B17="卖出",MAX(0,G18-C17),""))</f>
        <v/>
      </c>
      <c r="H17">
        <f>IF(B17="",H18,IF(B17="买入",H18,IF(B17="卖出",IF(G17=0,0,H18+(D17-F17)*C17-E17),H18)))</f>
        <v/>
      </c>
    </row>
    <row r="18">
      <c r="A18" s="6" t="n"/>
      <c r="B18" s="7" t="n"/>
      <c r="C18" s="7" t="n"/>
      <c r="D18" s="7" t="n"/>
      <c r="E18" s="7" t="n"/>
      <c r="F18" s="8">
        <f>IF(B18="买入",IF(G19&lt;=0,(C18*D18+E18)/C18,(F19*G19+C18*D18+E18)/(G19+C18)),IF(B18="卖出",IF(G19-C18&lt;=0,F19,(F19*G19-C18*D18+E18)/(G19-C18)),""))</f>
        <v/>
      </c>
      <c r="G18" s="8">
        <f>IF(B18="买入",G19+C18,IF(B18="卖出",MAX(0,G19-C18),""))</f>
        <v/>
      </c>
      <c r="H18">
        <f>IF(B18="",H19,IF(B18="买入",H19,IF(B18="卖出",IF(G18=0,0,H19+(D18-F18)*C18-E18),H19)))</f>
        <v/>
      </c>
    </row>
    <row r="19">
      <c r="A19" s="6" t="n"/>
      <c r="B19" s="7" t="n"/>
      <c r="C19" s="7" t="n"/>
      <c r="D19" s="7" t="n"/>
      <c r="E19" s="7" t="n"/>
      <c r="F19" s="8">
        <f>IF(B19="买入",IF(G20&lt;=0,(C19*D19+E19)/C19,(F20*G20+C19*D19+E19)/(G20+C19)),IF(B19="卖出",IF(G20-C19&lt;=0,F20,(F20*G20-C19*D19+E19)/(G20-C19)),""))</f>
        <v/>
      </c>
      <c r="G19" s="8">
        <f>IF(B19="买入",G20+C19,IF(B19="卖出",MAX(0,G20-C19),""))</f>
        <v/>
      </c>
      <c r="H19">
        <f>IF(B19="",H20,IF(B19="买入",H20,IF(B19="卖出",IF(G19=0,0,H20+(D19-F19)*C19-E19),H20)))</f>
        <v/>
      </c>
    </row>
    <row r="20">
      <c r="A20" s="6" t="n"/>
      <c r="B20" s="7" t="n"/>
      <c r="C20" s="7" t="n"/>
      <c r="D20" s="7" t="n"/>
      <c r="E20" s="7" t="n"/>
      <c r="F20" s="8">
        <f>IF(B20="买入",IF(G21&lt;=0,(C20*D20+E20)/C20,(F21*G21+C20*D20+E20)/(G21+C20)),IF(B20="卖出",IF(G21-C20&lt;=0,F21,(F21*G21-C20*D20+E20)/(G21-C20)),""))</f>
        <v/>
      </c>
      <c r="G20" s="8">
        <f>IF(B20="买入",G21+C20,IF(B20="卖出",MAX(0,G21-C20),""))</f>
        <v/>
      </c>
      <c r="H20">
        <f>IF(B20="",H21,IF(B20="买入",H21,IF(B20="卖出",IF(G20=0,0,H21+(D20-F20)*C20-E20),H21)))</f>
        <v/>
      </c>
    </row>
    <row r="21">
      <c r="A21" s="6" t="n"/>
      <c r="B21" s="7" t="n"/>
      <c r="C21" s="7" t="n"/>
      <c r="D21" s="7" t="n"/>
      <c r="E21" s="7" t="n"/>
      <c r="F21" s="8">
        <f>IF(B21="买入",IF(G22&lt;=0,(C21*D21+E21)/C21,(F22*G22+C21*D21+E21)/(G22+C21)),IF(B21="卖出",IF(G22-C21&lt;=0,F22,(F22*G22-C21*D21+E21)/(G22-C21)),""))</f>
        <v/>
      </c>
      <c r="G21" s="8">
        <f>IF(B21="买入",G22+C21,IF(B21="卖出",MAX(0,G22-C21),""))</f>
        <v/>
      </c>
      <c r="H21">
        <f>IF(B21="",H22,IF(B21="买入",H22,IF(B21="卖出",IF(G21=0,0,H22+(D21-F21)*C21-E21),H22)))</f>
        <v/>
      </c>
    </row>
    <row r="22">
      <c r="A22" s="6" t="n"/>
      <c r="B22" s="7" t="n"/>
      <c r="C22" s="7" t="n"/>
      <c r="D22" s="7" t="n"/>
      <c r="E22" s="7" t="n"/>
      <c r="F22" s="8">
        <f>IF(B22="买入",IF(G23&lt;=0,(C22*D22+E22)/C22,(F23*G23+C22*D22+E22)/(G23+C22)),IF(B22="卖出",IF(G23-C22&lt;=0,F23,(F23*G23-C22*D22+E22)/(G23-C22)),""))</f>
        <v/>
      </c>
      <c r="G22" s="8">
        <f>IF(B22="买入",G23+C22,IF(B22="卖出",MAX(0,G23-C22),""))</f>
        <v/>
      </c>
      <c r="H22">
        <f>IF(B22="",H23,IF(B22="买入",H23,IF(B22="卖出",IF(G22=0,0,H23+(D22-F22)*C22-E22),H23)))</f>
        <v/>
      </c>
    </row>
    <row r="23">
      <c r="A23" s="6" t="n"/>
      <c r="B23" s="7" t="n"/>
      <c r="C23" s="7" t="n"/>
      <c r="D23" s="7" t="n"/>
      <c r="E23" s="7" t="n"/>
      <c r="F23" s="8">
        <f>IF(B23="买入",IF(G24&lt;=0,(C23*D23+E23)/C23,(F24*G24+C23*D23+E23)/(G24+C23)),IF(B23="卖出",IF(G24-C23&lt;=0,F24,(F24*G24-C23*D23+E23)/(G24-C23)),""))</f>
        <v/>
      </c>
      <c r="G23" s="8">
        <f>IF(B23="买入",G24+C23,IF(B23="卖出",MAX(0,G24-C23),""))</f>
        <v/>
      </c>
      <c r="H23">
        <f>IF(B23="",H24,IF(B23="买入",H24,IF(B23="卖出",IF(G23=0,0,H24+(D23-F23)*C23-E23),H24)))</f>
        <v/>
      </c>
    </row>
    <row r="24">
      <c r="A24" s="6" t="n"/>
      <c r="B24" s="7" t="n"/>
      <c r="C24" s="7" t="n"/>
      <c r="D24" s="7" t="n"/>
      <c r="E24" s="7" t="n"/>
      <c r="F24" s="8">
        <f>IF(B24="买入",IF(G25&lt;=0,(C24*D24+E24)/C24,(F25*G25+C24*D24+E24)/(G25+C24)),IF(B24="卖出",IF(G25-C24&lt;=0,F25,(F25*G25-C24*D24+E24)/(G25-C24)),""))</f>
        <v/>
      </c>
      <c r="G24" s="8">
        <f>IF(B24="买入",G25+C24,IF(B24="卖出",MAX(0,G25-C24),""))</f>
        <v/>
      </c>
      <c r="H24">
        <f>IF(B24="",H25,IF(B24="买入",H25,IF(B24="卖出",IF(G24=0,0,H25+(D24-F24)*C24-E24),H25)))</f>
        <v/>
      </c>
    </row>
    <row r="25">
      <c r="A25" s="6" t="n"/>
      <c r="B25" s="7" t="n"/>
      <c r="C25" s="7" t="n"/>
      <c r="D25" s="7" t="n"/>
      <c r="E25" s="7" t="n"/>
      <c r="F25" s="8">
        <f>IF(B25="买入",IF(G26&lt;=0,(C25*D25+E25)/C25,(F26*G26+C25*D25+E25)/(G26+C25)),IF(B25="卖出",IF(G26-C25&lt;=0,F26,(F26*G26-C25*D25+E25)/(G26-C25)),""))</f>
        <v/>
      </c>
      <c r="G25" s="8">
        <f>IF(B25="买入",G26+C25,IF(B25="卖出",MAX(0,G26-C25),""))</f>
        <v/>
      </c>
      <c r="H25">
        <f>IF(B25="",H26,IF(B25="买入",H26,IF(B25="卖出",IF(G25=0,0,H26+(D25-F25)*C25-E25),H26)))</f>
        <v/>
      </c>
    </row>
    <row r="26">
      <c r="A26" s="6" t="n"/>
      <c r="B26" s="7" t="n"/>
      <c r="C26" s="7" t="n"/>
      <c r="D26" s="7" t="n"/>
      <c r="E26" s="7" t="n"/>
      <c r="F26" s="8">
        <f>IF(B26="买入",IF(G27&lt;=0,(C26*D26+E26)/C26,(F27*G27+C26*D26+E26)/(G27+C26)),IF(B26="卖出",IF(G27-C26&lt;=0,F27,(F27*G27-C26*D26+E26)/(G27-C26)),""))</f>
        <v/>
      </c>
      <c r="G26" s="8">
        <f>IF(B26="买入",G27+C26,IF(B26="卖出",MAX(0,G27-C26),""))</f>
        <v/>
      </c>
      <c r="H26">
        <f>IF(B26="",H27,IF(B26="买入",H27,IF(B26="卖出",IF(G26=0,0,H27+(D26-F26)*C26-E26),H27)))</f>
        <v/>
      </c>
    </row>
    <row r="27">
      <c r="A27" s="6" t="n"/>
      <c r="B27" s="7" t="n"/>
      <c r="C27" s="7" t="n"/>
      <c r="D27" s="7" t="n"/>
      <c r="E27" s="7" t="n"/>
      <c r="F27" s="8">
        <f>IF(B27="买入",IF(G28&lt;=0,(C27*D27+E27)/C27,(F28*G28+C27*D27+E27)/(G28+C27)),IF(B27="卖出",IF(G28-C27&lt;=0,F28,(F28*G28-C27*D27+E27)/(G28-C27)),""))</f>
        <v/>
      </c>
      <c r="G27" s="8">
        <f>IF(B27="买入",G28+C27,IF(B27="卖出",MAX(0,G28-C27),""))</f>
        <v/>
      </c>
      <c r="H27">
        <f>IF(B27="",H28,IF(B27="买入",H28,IF(B27="卖出",IF(G27=0,0,H28+(D27-F27)*C27-E27),H28)))</f>
        <v/>
      </c>
    </row>
    <row r="28">
      <c r="A28" s="6" t="n"/>
      <c r="B28" s="7" t="n"/>
      <c r="C28" s="7" t="n"/>
      <c r="D28" s="7" t="n"/>
      <c r="E28" s="7" t="n"/>
      <c r="F28" s="8">
        <f>IF(B28="买入",IF(G29&lt;=0,(C28*D28+E28)/C28,(F29*G29+C28*D28+E28)/(G29+C28)),IF(B28="卖出",IF(G29-C28&lt;=0,F29,(F29*G29-C28*D28+E28)/(G29-C28)),""))</f>
        <v/>
      </c>
      <c r="G28" s="8">
        <f>IF(B28="买入",G29+C28,IF(B28="卖出",MAX(0,G29-C28),""))</f>
        <v/>
      </c>
      <c r="H28">
        <f>IF(B28="",H29,IF(B28="买入",H29,IF(B28="卖出",IF(G28=0,0,H29+(D28-F28)*C28-E28),H29)))</f>
        <v/>
      </c>
    </row>
    <row r="29">
      <c r="A29" s="6" t="n"/>
      <c r="B29" s="7" t="n"/>
      <c r="C29" s="7" t="n"/>
      <c r="D29" s="7" t="n"/>
      <c r="E29" s="7" t="n"/>
      <c r="F29" s="8">
        <f>IF(B29="买入",IF(G30&lt;=0,(C29*D29+E29)/C29,(F30*G30+C29*D29+E29)/(G30+C29)),IF(B29="卖出",IF(G30-C29&lt;=0,F30,(F30*G30-C29*D29+E29)/(G30-C29)),""))</f>
        <v/>
      </c>
      <c r="G29" s="8">
        <f>IF(B29="买入",G30+C29,IF(B29="卖出",MAX(0,G30-C29),""))</f>
        <v/>
      </c>
      <c r="H29">
        <f>IF(B29="",H30,IF(B29="买入",H30,IF(B29="卖出",IF(G29=0,0,H30+(D29-F29)*C29-E29),H30)))</f>
        <v/>
      </c>
    </row>
    <row r="30">
      <c r="A30" s="6" t="n"/>
      <c r="B30" s="7" t="n"/>
      <c r="C30" s="7" t="n"/>
      <c r="D30" s="7" t="n"/>
      <c r="E30" s="7" t="n"/>
      <c r="F30" s="8">
        <f>IF(B30="买入",IF(G31&lt;=0,(C30*D30+E30)/C30,(F31*G31+C30*D30+E30)/(G31+C30)),IF(B30="卖出",IF(G31-C30&lt;=0,F31,(F31*G31-C30*D30+E30)/(G31-C30)),""))</f>
        <v/>
      </c>
      <c r="G30" s="8">
        <f>IF(B30="买入",G31+C30,IF(B30="卖出",MAX(0,G31-C30),""))</f>
        <v/>
      </c>
      <c r="H30">
        <f>IF(B30="",H31,IF(B30="买入",H31,IF(B30="卖出",IF(G30=0,0,H31+(D30-F30)*C30-E30),H31)))</f>
        <v/>
      </c>
    </row>
    <row r="31">
      <c r="A31" s="6" t="n"/>
      <c r="B31" s="7" t="n"/>
      <c r="C31" s="7" t="n"/>
      <c r="D31" s="7" t="n"/>
      <c r="E31" s="7" t="n"/>
      <c r="F31" s="8">
        <f>IF(B31="买入",IF(G32&lt;=0,(C31*D31+E31)/C31,(F32*G32+C31*D31+E31)/(G32+C31)),IF(B31="卖出",IF(G32-C31&lt;=0,F32,(F32*G32-C31*D31+E31)/(G32-C31)),""))</f>
        <v/>
      </c>
      <c r="G31" s="8">
        <f>IF(B31="买入",G32+C31,IF(B31="卖出",MAX(0,G32-C31),""))</f>
        <v/>
      </c>
      <c r="H31">
        <f>IF(B31="",H32,IF(B31="买入",H32,IF(B31="卖出",IF(G31=0,0,H32+(D31-F31)*C31-E31),H32)))</f>
        <v/>
      </c>
    </row>
    <row r="32">
      <c r="A32" s="6" t="n"/>
      <c r="B32" s="7" t="n"/>
      <c r="C32" s="7" t="n"/>
      <c r="D32" s="7" t="n"/>
      <c r="E32" s="7" t="n"/>
      <c r="F32" s="8">
        <f>IF(B32="买入",IF(G33&lt;=0,(C32*D32+E32)/C32,(F33*G33+C32*D32+E32)/(G33+C32)),IF(B32="卖出",IF(G33-C32&lt;=0,F33,(F33*G33-C32*D32+E32)/(G33-C32)),""))</f>
        <v/>
      </c>
      <c r="G32" s="8">
        <f>IF(B32="买入",G33+C32,IF(B32="卖出",MAX(0,G33-C32),""))</f>
        <v/>
      </c>
      <c r="H32">
        <f>IF(B32="",H33,IF(B32="买入",H33,IF(B32="卖出",IF(G32=0,0,H33+(D32-F32)*C32-E32),H33)))</f>
        <v/>
      </c>
    </row>
    <row r="33">
      <c r="A33" s="6" t="n"/>
      <c r="B33" s="7" t="n"/>
      <c r="C33" s="7" t="n"/>
      <c r="D33" s="7" t="n"/>
      <c r="E33" s="7" t="n"/>
      <c r="F33" s="8">
        <f>IF(B33="买入",IF(G34&lt;=0,(C33*D33+E33)/C33,(F34*G34+C33*D33+E33)/(G34+C33)),IF(B33="卖出",IF(G34-C33&lt;=0,F34,(F34*G34-C33*D33+E33)/(G34-C33)),""))</f>
        <v/>
      </c>
      <c r="G33" s="8">
        <f>IF(B33="买入",G34+C33,IF(B33="卖出",MAX(0,G34-C33),""))</f>
        <v/>
      </c>
      <c r="H33">
        <f>IF(B33="",H34,IF(B33="买入",H34,IF(B33="卖出",IF(G33=0,0,H34+(D33-F33)*C33-E33),H34)))</f>
        <v/>
      </c>
    </row>
    <row r="34">
      <c r="A34" s="6" t="n"/>
      <c r="B34" s="7" t="n"/>
      <c r="C34" s="7" t="n"/>
      <c r="D34" s="7" t="n"/>
      <c r="E34" s="7" t="n"/>
      <c r="F34" s="8">
        <f>IF(B34="买入",IF(G35&lt;=0,(C34*D34+E34)/C34,(F35*G35+C34*D34+E34)/(G35+C34)),IF(B34="卖出",IF(G35-C34&lt;=0,F35,(F35*G35-C34*D34+E34)/(G35-C34)),""))</f>
        <v/>
      </c>
      <c r="G34" s="8">
        <f>IF(B34="买入",G35+C34,IF(B34="卖出",MAX(0,G35-C34),""))</f>
        <v/>
      </c>
      <c r="H34">
        <f>IF(B34="",H35,IF(B34="买入",H35,IF(B34="卖出",IF(G34=0,0,H35+(D34-F34)*C34-E34),H35)))</f>
        <v/>
      </c>
    </row>
    <row r="35">
      <c r="A35" s="6" t="n"/>
      <c r="B35" s="7" t="n"/>
      <c r="C35" s="7" t="n"/>
      <c r="D35" s="7" t="n"/>
      <c r="E35" s="7" t="n"/>
      <c r="F35" s="8">
        <f>IF(B35="买入",IF(G36&lt;=0,(C35*D35+E35)/C35,(F36*G36+C35*D35+E35)/(G36+C35)),IF(B35="卖出",IF(G36-C35&lt;=0,F36,(F36*G36-C35*D35+E35)/(G36-C35)),""))</f>
        <v/>
      </c>
      <c r="G35" s="8">
        <f>IF(B35="买入",G36+C35,IF(B35="卖出",MAX(0,G36-C35),""))</f>
        <v/>
      </c>
      <c r="H35">
        <f>IF(B35="",H36,IF(B35="买入",H36,IF(B35="卖出",IF(G35=0,0,H36+(D35-F35)*C35-E35),H36)))</f>
        <v/>
      </c>
    </row>
    <row r="36">
      <c r="A36" s="6" t="n"/>
      <c r="B36" s="7" t="n"/>
      <c r="C36" s="7" t="n"/>
      <c r="D36" s="7" t="n"/>
      <c r="E36" s="7" t="n"/>
      <c r="F36" s="8">
        <f>IF(B36="买入",IF(G37&lt;=0,(C36*D36+E36)/C36,(F37*G37+C36*D36+E36)/(G37+C36)),IF(B36="卖出",IF(G37-C36&lt;=0,F37,(F37*G37-C36*D36+E36)/(G37-C36)),""))</f>
        <v/>
      </c>
      <c r="G36" s="8">
        <f>IF(B36="买入",G37+C36,IF(B36="卖出",MAX(0,G37-C36),""))</f>
        <v/>
      </c>
      <c r="H36">
        <f>IF(B36="",H37,IF(B36="买入",H37,IF(B36="卖出",IF(G36=0,0,H37+(D36-F36)*C36-E36),H37)))</f>
        <v/>
      </c>
    </row>
    <row r="37">
      <c r="A37" s="6" t="n"/>
      <c r="B37" s="7" t="n"/>
      <c r="C37" s="7" t="n"/>
      <c r="D37" s="7" t="n"/>
      <c r="E37" s="7" t="n"/>
      <c r="F37" s="8">
        <f>IF(B37="买入",IF(G38&lt;=0,(C37*D37+E37)/C37,(F38*G38+C37*D37+E37)/(G38+C37)),IF(B37="卖出",IF(G38-C37&lt;=0,F38,(F38*G38-C37*D37+E37)/(G38-C37)),""))</f>
        <v/>
      </c>
      <c r="G37" s="8">
        <f>IF(B37="买入",G38+C37,IF(B37="卖出",MAX(0,G38-C37),""))</f>
        <v/>
      </c>
      <c r="H37">
        <f>IF(B37="",H38,IF(B37="买入",H38,IF(B37="卖出",IF(G37=0,0,H38+(D37-F37)*C37-E37),H38)))</f>
        <v/>
      </c>
    </row>
    <row r="38">
      <c r="A38" s="6" t="n"/>
      <c r="B38" s="7" t="n"/>
      <c r="C38" s="7" t="n"/>
      <c r="D38" s="7" t="n"/>
      <c r="E38" s="7" t="n"/>
      <c r="F38" s="8">
        <f>IF(B38="买入",IF(G39&lt;=0,(C38*D38+E38)/C38,(F39*G39+C38*D38+E38)/(G39+C38)),IF(B38="卖出",IF(G39-C38&lt;=0,F39,(F39*G39-C38*D38+E38)/(G39-C38)),""))</f>
        <v/>
      </c>
      <c r="G38" s="8">
        <f>IF(B38="买入",G39+C38,IF(B38="卖出",MAX(0,G39-C38),""))</f>
        <v/>
      </c>
      <c r="H38">
        <f>IF(B38="",H39,IF(B38="买入",H39,IF(B38="卖出",IF(G38=0,0,H39+(D38-F38)*C38-E38),H39)))</f>
        <v/>
      </c>
    </row>
    <row r="39">
      <c r="A39" s="6" t="n"/>
      <c r="B39" s="7" t="n"/>
      <c r="C39" s="7" t="n"/>
      <c r="D39" s="7" t="n"/>
      <c r="E39" s="7" t="n"/>
      <c r="F39" s="8">
        <f>IF(B39="买入",IF(G40&lt;=0,(C39*D39+E39)/C39,(F40*G40+C39*D39+E39)/(G40+C39)),IF(B39="卖出",IF(G40-C39&lt;=0,F40,(F40*G40-C39*D39+E39)/(G40-C39)),""))</f>
        <v/>
      </c>
      <c r="G39" s="8">
        <f>IF(B39="买入",G40+C39,IF(B39="卖出",MAX(0,G40-C39),""))</f>
        <v/>
      </c>
      <c r="H39">
        <f>IF(B39="",H40,IF(B39="买入",H40,IF(B39="卖出",IF(G39=0,0,H40+(D39-F39)*C39-E39),H40)))</f>
        <v/>
      </c>
    </row>
    <row r="40">
      <c r="A40" s="6" t="n"/>
      <c r="B40" s="7" t="n"/>
      <c r="C40" s="7" t="n"/>
      <c r="D40" s="7" t="n"/>
      <c r="E40" s="7" t="n"/>
      <c r="F40" s="8">
        <f>IF(B40="买入",IF(G41&lt;=0,(C40*D40+E40)/C40,(F41*G41+C40*D40+E40)/(G41+C40)),IF(B40="卖出",IF(G41-C40&lt;=0,F41,(F41*G41-C40*D40+E40)/(G41-C40)),""))</f>
        <v/>
      </c>
      <c r="G40" s="8">
        <f>IF(B40="买入",G41+C40,IF(B40="卖出",MAX(0,G41-C40),""))</f>
        <v/>
      </c>
      <c r="H40">
        <f>IF(B40="",H41,IF(B40="买入",H41,IF(B40="卖出",IF(G40=0,0,H41+(D40-F40)*C40-E40),H41)))</f>
        <v/>
      </c>
    </row>
    <row r="41">
      <c r="A41" s="6" t="n"/>
      <c r="B41" s="7" t="n"/>
      <c r="C41" s="7" t="n"/>
      <c r="D41" s="7" t="n"/>
      <c r="E41" s="7" t="n"/>
      <c r="F41" s="8">
        <f>IF(B41="买入",IF(G42&lt;=0,(C41*D41+E41)/C41,(F42*G42+C41*D41+E41)/(G42+C41)),IF(B41="卖出",IF(G42-C41&lt;=0,F42,(F42*G42-C41*D41+E41)/(G42-C41)),""))</f>
        <v/>
      </c>
      <c r="G41" s="8">
        <f>IF(B41="买入",G42+C41,IF(B41="卖出",MAX(0,G42-C41),""))</f>
        <v/>
      </c>
      <c r="H41">
        <f>IF(B41="",H42,IF(B41="买入",H42,IF(B41="卖出",IF(G41=0,0,H42+(D41-F41)*C41-E41),H42)))</f>
        <v/>
      </c>
    </row>
    <row r="42">
      <c r="A42" s="6" t="n"/>
      <c r="B42" s="7" t="n"/>
      <c r="C42" s="7" t="n"/>
      <c r="D42" s="7" t="n"/>
      <c r="E42" s="7" t="n"/>
      <c r="F42" s="8">
        <f>IF(B42="买入",IF(G43&lt;=0,(C42*D42+E42)/C42,(F43*G43+C42*D42+E42)/(G43+C42)),IF(B42="卖出",IF(G43-C42&lt;=0,F43,(F43*G43-C42*D42+E42)/(G43-C42)),""))</f>
        <v/>
      </c>
      <c r="G42" s="8">
        <f>IF(B42="买入",G43+C42,IF(B42="卖出",MAX(0,G43-C42),""))</f>
        <v/>
      </c>
      <c r="H42">
        <f>IF(B42="",H43,IF(B42="买入",H43,IF(B42="卖出",IF(G42=0,0,H43+(D42-F42)*C42-E42),H43)))</f>
        <v/>
      </c>
    </row>
    <row r="43">
      <c r="A43" s="6" t="n"/>
      <c r="B43" s="7" t="n"/>
      <c r="C43" s="7" t="n"/>
      <c r="D43" s="7" t="n"/>
      <c r="E43" s="7" t="n"/>
      <c r="F43" s="8">
        <f>IF(B43="买入",IF(G44&lt;=0,(C43*D43+E43)/C43,(F44*G44+C43*D43+E43)/(G44+C43)),IF(B43="卖出",IF(G44-C43&lt;=0,F44,(F44*G44-C43*D43+E43)/(G44-C43)),""))</f>
        <v/>
      </c>
      <c r="G43" s="8">
        <f>IF(B43="买入",G44+C43,IF(B43="卖出",MAX(0,G44-C43),""))</f>
        <v/>
      </c>
      <c r="H43">
        <f>IF(B43="",H44,IF(B43="买入",H44,IF(B43="卖出",IF(G43=0,0,H44+(D43-F43)*C43-E43),H44)))</f>
        <v/>
      </c>
    </row>
    <row r="44">
      <c r="A44" s="6" t="n"/>
      <c r="B44" s="7" t="n"/>
      <c r="C44" s="7" t="n"/>
      <c r="D44" s="7" t="n"/>
      <c r="E44" s="7" t="n"/>
      <c r="F44" s="8">
        <f>IF(B44="买入",IF(G45&lt;=0,(C44*D44+E44)/C44,(F45*G45+C44*D44+E44)/(G45+C44)),IF(B44="卖出",IF(G45-C44&lt;=0,F45,(F45*G45-C44*D44+E44)/(G45-C44)),""))</f>
        <v/>
      </c>
      <c r="G44" s="8">
        <f>IF(B44="买入",G45+C44,IF(B44="卖出",MAX(0,G45-C44),""))</f>
        <v/>
      </c>
      <c r="H44">
        <f>IF(B44="",H45,IF(B44="买入",H45,IF(B44="卖出",IF(G44=0,0,H45+(D44-F44)*C44-E44),H45)))</f>
        <v/>
      </c>
    </row>
    <row r="45">
      <c r="A45" s="6" t="n"/>
      <c r="B45" s="7" t="n"/>
      <c r="C45" s="7" t="n"/>
      <c r="D45" s="7" t="n"/>
      <c r="E45" s="7" t="n"/>
      <c r="F45" s="8">
        <f>IF(B45="买入",IF(G46&lt;=0,(C45*D45+E45)/C45,(F46*G46+C45*D45+E45)/(G46+C45)),IF(B45="卖出",IF(G46-C45&lt;=0,F46,(F46*G46-C45*D45+E45)/(G46-C45)),""))</f>
        <v/>
      </c>
      <c r="G45" s="8">
        <f>IF(B45="买入",G46+C45,IF(B45="卖出",MAX(0,G46-C45),""))</f>
        <v/>
      </c>
      <c r="H45">
        <f>IF(B45="",H46,IF(B45="买入",H46,IF(B45="卖出",IF(G45=0,0,H46+(D45-F45)*C45-E45),H46)))</f>
        <v/>
      </c>
    </row>
    <row r="46">
      <c r="A46" s="6" t="n"/>
      <c r="B46" s="7" t="n"/>
      <c r="C46" s="7" t="n"/>
      <c r="D46" s="7" t="n"/>
      <c r="E46" s="7" t="n"/>
      <c r="F46" s="8">
        <f>IF(B46="买入",IF(G47&lt;=0,(C46*D46+E46)/C46,(F47*G47+C46*D46+E46)/(G47+C46)),IF(B46="卖出",IF(G47-C46&lt;=0,F47,(F47*G47-C46*D46+E46)/(G47-C46)),""))</f>
        <v/>
      </c>
      <c r="G46" s="8">
        <f>IF(B46="买入",G47+C46,IF(B46="卖出",MAX(0,G47-C46),""))</f>
        <v/>
      </c>
      <c r="H46">
        <f>IF(B46="",H47,IF(B46="买入",H47,IF(B46="卖出",IF(G46=0,0,H47+(D46-F46)*C46-E46),H47)))</f>
        <v/>
      </c>
    </row>
    <row r="47">
      <c r="A47" s="6" t="n"/>
      <c r="B47" s="7" t="n"/>
      <c r="C47" s="7" t="n"/>
      <c r="D47" s="7" t="n"/>
      <c r="E47" s="7" t="n"/>
      <c r="F47" s="8">
        <f>IF(B47="买入",IF(G48&lt;=0,(C47*D47+E47)/C47,(F48*G48+C47*D47+E47)/(G48+C47)),IF(B47="卖出",IF(G48-C47&lt;=0,F48,(F48*G48-C47*D47+E47)/(G48-C47)),""))</f>
        <v/>
      </c>
      <c r="G47" s="8">
        <f>IF(B47="买入",G48+C47,IF(B47="卖出",MAX(0,G48-C47),""))</f>
        <v/>
      </c>
      <c r="H47">
        <f>IF(B47="",H48,IF(B47="买入",H48,IF(B47="卖出",IF(G47=0,0,H48+(D47-F47)*C47-E47),H48)))</f>
        <v/>
      </c>
    </row>
    <row r="48">
      <c r="A48" s="6" t="n"/>
      <c r="B48" s="7" t="n"/>
      <c r="C48" s="7" t="n"/>
      <c r="D48" s="7" t="n"/>
      <c r="E48" s="7" t="n"/>
      <c r="F48" s="8">
        <f>IF(B48="买入",IF(G49&lt;=0,(C48*D48+E48)/C48,(F49*G49+C48*D48+E48)/(G49+C48)),IF(B48="卖出",IF(G49-C48&lt;=0,F49,(F49*G49-C48*D48+E48)/(G49-C48)),""))</f>
        <v/>
      </c>
      <c r="G48" s="8">
        <f>IF(B48="买入",G49+C48,IF(B48="卖出",MAX(0,G49-C48),""))</f>
        <v/>
      </c>
      <c r="H48">
        <f>IF(B48="",H49,IF(B48="买入",H49,IF(B48="卖出",IF(G48=0,0,H49+(D48-F48)*C48-E48),H49)))</f>
        <v/>
      </c>
    </row>
    <row r="49">
      <c r="A49" s="6" t="n"/>
      <c r="B49" s="7" t="n"/>
      <c r="C49" s="7" t="n"/>
      <c r="D49" s="7" t="n"/>
      <c r="E49" s="7" t="n"/>
      <c r="F49" s="8">
        <f>IF(B49="买入",IF(G50&lt;=0,(C49*D49+E49)/C49,(F50*G50+C49*D49+E49)/(G50+C49)),IF(B49="卖出",IF(G50-C49&lt;=0,F50,(F50*G50-C49*D49+E49)/(G50-C49)),""))</f>
        <v/>
      </c>
      <c r="G49" s="8">
        <f>IF(B49="买入",G50+C49,IF(B49="卖出",MAX(0,G50-C49),""))</f>
        <v/>
      </c>
      <c r="H49">
        <f>IF(B49="",H50,IF(B49="买入",H50,IF(B49="卖出",IF(G49=0,0,H50+(D49-F49)*C49-E49),H50)))</f>
        <v/>
      </c>
    </row>
    <row r="50">
      <c r="A50" s="6" t="n"/>
      <c r="B50" s="7" t="n"/>
      <c r="C50" s="7" t="n"/>
      <c r="D50" s="7" t="n"/>
      <c r="E50" s="7" t="n"/>
      <c r="F50" s="8">
        <f>IF(B50="买入",IF(G51&lt;=0,(C50*D50+E50)/C50,(F51*G51+C50*D50+E50)/(G51+C50)),IF(B50="卖出",IF(G51-C50&lt;=0,F51,(F51*G51-C50*D50+E50)/(G51-C50)),""))</f>
        <v/>
      </c>
      <c r="G50" s="8">
        <f>IF(B50="买入",G51+C50,IF(B50="卖出",MAX(0,G51-C50),""))</f>
        <v/>
      </c>
      <c r="H50">
        <f>IF(B50="",H51,IF(B50="买入",H51,IF(B50="卖出",IF(G50=0,0,H51+(D50-F50)*C50-E50),H51)))</f>
        <v/>
      </c>
    </row>
    <row r="51">
      <c r="A51" s="6" t="n"/>
      <c r="B51" s="7" t="n"/>
      <c r="C51" s="7" t="n"/>
      <c r="D51" s="7" t="n"/>
      <c r="E51" s="7" t="n"/>
      <c r="F51" s="8">
        <f>IF(B51="买入",IF(G52&lt;=0,(C51*D51+E51)/C51,(F52*G52+C51*D51+E51)/(G52+C51)),IF(B51="卖出",IF(G52-C51&lt;=0,F52,(F52*G52-C51*D51+E51)/(G52-C51)),""))</f>
        <v/>
      </c>
      <c r="G51" s="8">
        <f>IF(B51="买入",G52+C51,IF(B51="卖出",MAX(0,G52-C51),""))</f>
        <v/>
      </c>
      <c r="H51">
        <f>IF(B51="",H52,IF(B51="买入",H52,IF(B51="卖出",IF(G51=0,0,H52+(D51-F51)*C51-E51),H52)))</f>
        <v/>
      </c>
    </row>
    <row r="52">
      <c r="A52" s="6" t="n"/>
      <c r="B52" s="7" t="n"/>
      <c r="C52" s="7" t="n"/>
      <c r="D52" s="7" t="n"/>
      <c r="E52" s="7" t="n"/>
      <c r="F52" s="8">
        <f>IF(B52="买入",IF(G53&lt;=0,(C52*D52+E52)/C52,(F53*G53+C52*D52+E52)/(G53+C52)),IF(B52="卖出",IF(G53-C52&lt;=0,F53,(F53*G53-C52*D52+E52)/(G53-C52)),""))</f>
        <v/>
      </c>
      <c r="G52" s="8">
        <f>IF(B52="买入",G53+C52,IF(B52="卖出",MAX(0,G53-C52),""))</f>
        <v/>
      </c>
      <c r="H52">
        <f>IF(B52="",H53,IF(B52="买入",H53,IF(B52="卖出",IF(G52=0,0,H53+(D52-F52)*C52-E52),H53)))</f>
        <v/>
      </c>
    </row>
    <row r="53">
      <c r="A53" s="6" t="n"/>
      <c r="B53" s="7" t="n"/>
      <c r="C53" s="7" t="n"/>
      <c r="D53" s="7" t="n"/>
      <c r="E53" s="7" t="n"/>
      <c r="F53" s="8">
        <f>IF(B53="买入",IF(G54&lt;=0,(C53*D53+E53)/C53,(F54*G54+C53*D53+E53)/(G54+C53)),IF(B53="卖出",IF(G54-C53&lt;=0,F54,(F54*G54-C53*D53+E53)/(G54-C53)),""))</f>
        <v/>
      </c>
      <c r="G53" s="8">
        <f>IF(B53="买入",G54+C53,IF(B53="卖出",MAX(0,G54-C53),""))</f>
        <v/>
      </c>
      <c r="H53">
        <f>IF(B53="",H54,IF(B53="买入",H54,IF(B53="卖出",IF(G53=0,0,H54+(D53-F53)*C53-E53),H54)))</f>
        <v/>
      </c>
    </row>
    <row r="54">
      <c r="A54" s="6" t="n"/>
      <c r="B54" s="7" t="n"/>
      <c r="C54" s="7" t="n"/>
      <c r="D54" s="7" t="n"/>
      <c r="E54" s="7" t="n"/>
      <c r="F54" s="8">
        <f>IF(B54="买入",IF(G55&lt;=0,(C54*D54+E54)/C54,(F55*G55+C54*D54+E54)/(G55+C54)),IF(B54="卖出",IF(G55-C54&lt;=0,F55,(F55*G55-C54*D54+E54)/(G55-C54)),""))</f>
        <v/>
      </c>
      <c r="G54" s="8">
        <f>IF(B54="买入",G55+C54,IF(B54="卖出",MAX(0,G55-C54),""))</f>
        <v/>
      </c>
      <c r="H54">
        <f>IF(B54="",H55,IF(B54="买入",H55,IF(B54="卖出",IF(G54=0,0,H55+(D54-F54)*C54-E54),H55)))</f>
        <v/>
      </c>
    </row>
    <row r="55">
      <c r="A55" s="6" t="n"/>
      <c r="B55" s="7" t="n"/>
      <c r="C55" s="7" t="n"/>
      <c r="D55" s="7" t="n"/>
      <c r="E55" s="7" t="n"/>
      <c r="F55" s="8">
        <f>IF(B55="买入",IF(G56&lt;=0,(C55*D55+E55)/C55,(F56*G56+C55*D55+E55)/(G56+C55)),IF(B55="卖出",IF(G56-C55&lt;=0,F56,(F56*G56-C55*D55+E55)/(G56-C55)),""))</f>
        <v/>
      </c>
      <c r="G55" s="8">
        <f>IF(B55="买入",G56+C55,IF(B55="卖出",MAX(0,G56-C55),""))</f>
        <v/>
      </c>
      <c r="H55">
        <f>IF(B55="",H56,IF(B55="买入",H56,IF(B55="卖出",IF(G55=0,0,H56+(D55-F55)*C55-E55),H56)))</f>
        <v/>
      </c>
    </row>
    <row r="56">
      <c r="A56" s="6" t="n"/>
      <c r="B56" s="7" t="n"/>
      <c r="C56" s="7" t="n"/>
      <c r="D56" s="7" t="n"/>
      <c r="E56" s="7" t="n"/>
      <c r="F56" s="8">
        <f>IF(B56="买入",IF(G57&lt;=0,(C56*D56+E56)/C56,(F57*G57+C56*D56+E56)/(G57+C56)),IF(B56="卖出",IF(G57-C56&lt;=0,F57,(F57*G57-C56*D56+E56)/(G57-C56)),""))</f>
        <v/>
      </c>
      <c r="G56" s="8">
        <f>IF(B56="买入",G57+C56,IF(B56="卖出",MAX(0,G57-C56),""))</f>
        <v/>
      </c>
      <c r="H56">
        <f>IF(B56="",H57,IF(B56="买入",H57,IF(B56="卖出",IF(G56=0,0,H57+(D56-F56)*C56-E56),H57)))</f>
        <v/>
      </c>
    </row>
    <row r="57">
      <c r="A57" s="6" t="n"/>
      <c r="B57" s="7" t="n"/>
      <c r="C57" s="7" t="n"/>
      <c r="D57" s="7" t="n"/>
      <c r="E57" s="7" t="n"/>
      <c r="F57" s="8">
        <f>IF(B57="买入",IF(G58&lt;=0,(C57*D57+E57)/C57,(F58*G58+C57*D57+E57)/(G58+C57)),IF(B57="卖出",IF(G58-C57&lt;=0,F58,(F58*G58-C57*D57+E57)/(G58-C57)),""))</f>
        <v/>
      </c>
      <c r="G57" s="8">
        <f>IF(B57="买入",G58+C57,IF(B57="卖出",MAX(0,G58-C57),""))</f>
        <v/>
      </c>
      <c r="H57">
        <f>IF(B57="",H58,IF(B57="买入",H58,IF(B57="卖出",IF(G57=0,0,H58+(D57-F57)*C57-E57),H58)))</f>
        <v/>
      </c>
    </row>
    <row r="58">
      <c r="A58" s="6" t="n"/>
      <c r="B58" s="7" t="n"/>
      <c r="C58" s="7" t="n"/>
      <c r="D58" s="7" t="n"/>
      <c r="E58" s="7" t="n"/>
      <c r="F58" s="8">
        <f>IF(B58="买入",IF(G59&lt;=0,(C58*D58+E58)/C58,(F59*G59+C58*D58+E58)/(G59+C58)),IF(B58="卖出",IF(G59-C58&lt;=0,F59,(F59*G59-C58*D58+E58)/(G59-C58)),""))</f>
        <v/>
      </c>
      <c r="G58" s="8">
        <f>IF(B58="买入",G59+C58,IF(B58="卖出",MAX(0,G59-C58),""))</f>
        <v/>
      </c>
      <c r="H58">
        <f>IF(B58="",H59,IF(B58="买入",H59,IF(B58="卖出",IF(G58=0,0,H59+(D58-F58)*C58-E58),H59)))</f>
        <v/>
      </c>
    </row>
    <row r="59">
      <c r="A59" s="6" t="n"/>
      <c r="B59" s="7" t="n"/>
      <c r="C59" s="7" t="n"/>
      <c r="D59" s="7" t="n"/>
      <c r="E59" s="7" t="n"/>
      <c r="F59" s="8">
        <f>IF(B59="买入",IF(G60&lt;=0,(C59*D59+E59)/C59,(F60*G60+C59*D59+E59)/(G60+C59)),IF(B59="卖出",IF(G60-C59&lt;=0,F60,(F60*G60-C59*D59+E59)/(G60-C59)),""))</f>
        <v/>
      </c>
      <c r="G59" s="8">
        <f>IF(B59="买入",G60+C59,IF(B59="卖出",MAX(0,G60-C59),""))</f>
        <v/>
      </c>
      <c r="H59">
        <f>IF(B59="",H60,IF(B59="买入",H60,IF(B59="卖出",IF(G59=0,0,H60+(D59-F59)*C59-E59),H60)))</f>
        <v/>
      </c>
    </row>
    <row r="60">
      <c r="A60" s="6" t="n"/>
      <c r="B60" s="7" t="n"/>
      <c r="C60" s="7" t="n"/>
      <c r="D60" s="7" t="n"/>
      <c r="E60" s="7" t="n"/>
      <c r="F60" s="8">
        <f>IF(B60="买入",IF(G61&lt;=0,(C60*D60+E60)/C60,(F61*G61+C60*D60+E60)/(G61+C60)),IF(B60="卖出",IF(G61-C60&lt;=0,F61,(F61*G61-C60*D60+E60)/(G61-C60)),""))</f>
        <v/>
      </c>
      <c r="G60" s="8">
        <f>IF(B60="买入",G61+C60,IF(B60="卖出",MAX(0,G61-C60),""))</f>
        <v/>
      </c>
      <c r="H60">
        <f>IF(B60="",H61,IF(B60="买入",H61,IF(B60="卖出",IF(G60=0,0,H61+(D60-F60)*C60-E60),H61)))</f>
        <v/>
      </c>
    </row>
    <row r="61">
      <c r="A61" s="6" t="n"/>
      <c r="B61" s="7" t="n"/>
      <c r="C61" s="7" t="n"/>
      <c r="D61" s="7" t="n"/>
      <c r="E61" s="7" t="n"/>
      <c r="F61" s="8">
        <f>IF(B61="买入",IF(G62&lt;=0,(C61*D61+E61)/C61,(F62*G62+C61*D61+E61)/(G62+C61)),IF(B61="卖出",IF(G62-C61&lt;=0,F62,(F62*G62-C61*D61+E61)/(G62-C61)),""))</f>
        <v/>
      </c>
      <c r="G61" s="8">
        <f>IF(B61="买入",G62+C61,IF(B61="卖出",MAX(0,G62-C61),""))</f>
        <v/>
      </c>
      <c r="H61">
        <f>IF(B61="",H62,IF(B61="买入",H62,IF(B61="卖出",IF(G61=0,0,H62+(D61-F61)*C61-E61),H62)))</f>
        <v/>
      </c>
    </row>
    <row r="62">
      <c r="A62" s="6" t="n"/>
      <c r="B62" s="7" t="n"/>
      <c r="C62" s="7" t="n"/>
      <c r="D62" s="7" t="n"/>
      <c r="E62" s="7" t="n"/>
      <c r="F62" s="8">
        <f>IF(B62="买入",IF(G63&lt;=0,(C62*D62+E62)/C62,(F63*G63+C62*D62+E62)/(G63+C62)),IF(B62="卖出",IF(G63-C62&lt;=0,F63,(F63*G63-C62*D62+E62)/(G63-C62)),""))</f>
        <v/>
      </c>
      <c r="G62" s="8">
        <f>IF(B62="买入",G63+C62,IF(B62="卖出",MAX(0,G63-C62),""))</f>
        <v/>
      </c>
      <c r="H62">
        <f>IF(B62="",H63,IF(B62="买入",H63,IF(B62="卖出",IF(G62=0,0,H63+(D62-F62)*C62-E62),H63)))</f>
        <v/>
      </c>
    </row>
    <row r="63">
      <c r="A63" s="6" t="n"/>
      <c r="B63" s="7" t="n"/>
      <c r="C63" s="7" t="n"/>
      <c r="D63" s="7" t="n"/>
      <c r="E63" s="7" t="n"/>
      <c r="F63" s="8">
        <f>IF(B63="买入",IF(G64&lt;=0,(C63*D63+E63)/C63,(F64*G64+C63*D63+E63)/(G64+C63)),IF(B63="卖出",IF(G64-C63&lt;=0,F64,(F64*G64-C63*D63+E63)/(G64-C63)),""))</f>
        <v/>
      </c>
      <c r="G63" s="8">
        <f>IF(B63="买入",G64+C63,IF(B63="卖出",MAX(0,G64-C63),""))</f>
        <v/>
      </c>
      <c r="H63">
        <f>IF(B63="",H64,IF(B63="买入",H64,IF(B63="卖出",IF(G63=0,0,H64+(D63-F63)*C63-E63),H64)))</f>
        <v/>
      </c>
    </row>
    <row r="64">
      <c r="A64" s="6" t="n"/>
      <c r="B64" s="7" t="n"/>
      <c r="C64" s="7" t="n"/>
      <c r="D64" s="7" t="n"/>
      <c r="E64" s="7" t="n"/>
      <c r="F64" s="8">
        <f>IF(B64="买入",IF(G65&lt;=0,(C64*D64+E64)/C64,(F65*G65+C64*D64+E64)/(G65+C64)),IF(B64="卖出",IF(G65-C64&lt;=0,F65,(F65*G65-C64*D64+E64)/(G65-C64)),""))</f>
        <v/>
      </c>
      <c r="G64" s="8">
        <f>IF(B64="买入",G65+C64,IF(B64="卖出",MAX(0,G65-C64),""))</f>
        <v/>
      </c>
      <c r="H64">
        <f>IF(B64="",H65,IF(B64="买入",H65,IF(B64="卖出",IF(G64=0,0,H65+(D64-F64)*C64-E64),H65)))</f>
        <v/>
      </c>
    </row>
    <row r="65">
      <c r="A65" s="6" t="n"/>
      <c r="B65" s="7" t="n"/>
      <c r="C65" s="7" t="n"/>
      <c r="D65" s="7" t="n"/>
      <c r="E65" s="7" t="n"/>
      <c r="F65" s="8">
        <f>IF(B65="买入",IF(G66&lt;=0,(C65*D65+E65)/C65,(F66*G66+C65*D65+E65)/(G66+C65)),IF(B65="卖出",IF(G66-C65&lt;=0,F66,(F66*G66-C65*D65+E65)/(G66-C65)),""))</f>
        <v/>
      </c>
      <c r="G65" s="8">
        <f>IF(B65="买入",G66+C65,IF(B65="卖出",MAX(0,G66-C65),""))</f>
        <v/>
      </c>
      <c r="H65">
        <f>IF(B65="",H66,IF(B65="买入",H66,IF(B65="卖出",IF(G65=0,0,H66+(D65-F65)*C65-E65),H66)))</f>
        <v/>
      </c>
    </row>
    <row r="66">
      <c r="A66" s="6" t="n"/>
      <c r="B66" s="7" t="n"/>
      <c r="C66" s="7" t="n"/>
      <c r="D66" s="7" t="n"/>
      <c r="E66" s="7" t="n"/>
      <c r="F66" s="8">
        <f>IF(B66="买入",IF(G67&lt;=0,(C66*D66+E66)/C66,(F67*G67+C66*D66+E66)/(G67+C66)),IF(B66="卖出",IF(G67-C66&lt;=0,F67,(F67*G67-C66*D66+E66)/(G67-C66)),""))</f>
        <v/>
      </c>
      <c r="G66" s="8">
        <f>IF(B66="买入",G67+C66,IF(B66="卖出",MAX(0,G67-C66),""))</f>
        <v/>
      </c>
      <c r="H66">
        <f>IF(B66="",H67,IF(B66="买入",H67,IF(B66="卖出",IF(G66=0,0,H67+(D66-F66)*C66-E66),H67)))</f>
        <v/>
      </c>
    </row>
    <row r="67">
      <c r="A67" s="6" t="n"/>
      <c r="B67" s="7" t="n"/>
      <c r="C67" s="7" t="n"/>
      <c r="D67" s="7" t="n"/>
      <c r="E67" s="7" t="n"/>
      <c r="F67" s="8">
        <f>IF(B67="买入",IF(G68&lt;=0,(C67*D67+E67)/C67,(F68*G68+C67*D67+E67)/(G68+C67)),IF(B67="卖出",IF(G68-C67&lt;=0,F68,(F68*G68-C67*D67+E67)/(G68-C67)),""))</f>
        <v/>
      </c>
      <c r="G67" s="8">
        <f>IF(B67="买入",G68+C67,IF(B67="卖出",MAX(0,G68-C67),""))</f>
        <v/>
      </c>
      <c r="H67">
        <f>IF(B67="",H68,IF(B67="买入",H68,IF(B67="卖出",IF(G67=0,0,H68+(D67-F67)*C67-E67),H68)))</f>
        <v/>
      </c>
    </row>
    <row r="68">
      <c r="A68" s="6" t="n"/>
      <c r="B68" s="7" t="n"/>
      <c r="C68" s="7" t="n"/>
      <c r="D68" s="7" t="n"/>
      <c r="E68" s="7" t="n"/>
      <c r="F68" s="8">
        <f>IF(B68="买入",IF(G69&lt;=0,(C68*D68+E68)/C68,(F69*G69+C68*D68+E68)/(G69+C68)),IF(B68="卖出",IF(G69-C68&lt;=0,F69,(F69*G69-C68*D68+E68)/(G69-C68)),""))</f>
        <v/>
      </c>
      <c r="G68" s="8">
        <f>IF(B68="买入",G69+C68,IF(B68="卖出",MAX(0,G69-C68),""))</f>
        <v/>
      </c>
      <c r="H68">
        <f>IF(B68="",H69,IF(B68="买入",H69,IF(B68="卖出",IF(G68=0,0,H69+(D68-F68)*C68-E68),H69)))</f>
        <v/>
      </c>
    </row>
    <row r="69">
      <c r="A69" s="6" t="n"/>
      <c r="B69" s="7" t="n"/>
      <c r="C69" s="7" t="n"/>
      <c r="D69" s="7" t="n"/>
      <c r="E69" s="7" t="n"/>
      <c r="F69" s="8">
        <f>IF(B69="买入",IF(G70&lt;=0,(C69*D69+E69)/C69,(F70*G70+C69*D69+E69)/(G70+C69)),IF(B69="卖出",IF(G70-C69&lt;=0,F70,(F70*G70-C69*D69+E69)/(G70-C69)),""))</f>
        <v/>
      </c>
      <c r="G69" s="8">
        <f>IF(B69="买入",G70+C69,IF(B69="卖出",MAX(0,G70-C69),""))</f>
        <v/>
      </c>
      <c r="H69">
        <f>IF(B69="",H70,IF(B69="买入",H70,IF(B69="卖出",IF(G69=0,0,H70+(D69-F69)*C69-E69),H70)))</f>
        <v/>
      </c>
    </row>
    <row r="70">
      <c r="A70" s="6" t="n"/>
      <c r="B70" s="7" t="n"/>
      <c r="C70" s="7" t="n"/>
      <c r="D70" s="7" t="n"/>
      <c r="E70" s="7" t="n"/>
      <c r="F70" s="8">
        <f>IF(B70="买入",IF(G71&lt;=0,(C70*D70+E70)/C70,(F71*G71+C70*D70+E70)/(G71+C70)),IF(B70="卖出",IF(G71-C70&lt;=0,F71,(F71*G71-C70*D70+E70)/(G71-C70)),""))</f>
        <v/>
      </c>
      <c r="G70" s="8">
        <f>IF(B70="买入",G71+C70,IF(B70="卖出",MAX(0,G71-C70),""))</f>
        <v/>
      </c>
      <c r="H70">
        <f>IF(B70="",H71,IF(B70="买入",H71,IF(B70="卖出",IF(G70=0,0,H71+(D70-F70)*C70-E70),H71)))</f>
        <v/>
      </c>
    </row>
    <row r="71">
      <c r="A71" s="6" t="n"/>
      <c r="B71" s="7" t="n"/>
      <c r="C71" s="7" t="n"/>
      <c r="D71" s="7" t="n"/>
      <c r="E71" s="7" t="n"/>
      <c r="F71" s="8">
        <f>IF(B71="买入",IF(G72&lt;=0,(C71*D71+E71)/C71,(F72*G72+C71*D71+E71)/(G72+C71)),IF(B71="卖出",IF(G72-C71&lt;=0,F72,(F72*G72-C71*D71+E71)/(G72-C71)),""))</f>
        <v/>
      </c>
      <c r="G71" s="8">
        <f>IF(B71="买入",G72+C71,IF(B71="卖出",MAX(0,G72-C71),""))</f>
        <v/>
      </c>
      <c r="H71">
        <f>IF(B71="",H72,IF(B71="买入",H72,IF(B71="卖出",IF(G71=0,0,H72+(D71-F71)*C71-E71),H72)))</f>
        <v/>
      </c>
    </row>
    <row r="72">
      <c r="A72" s="6" t="n"/>
      <c r="B72" s="7" t="n"/>
      <c r="C72" s="7" t="n"/>
      <c r="D72" s="7" t="n"/>
      <c r="E72" s="7" t="n"/>
      <c r="F72" s="8">
        <f>IF(B72="买入",IF(G73&lt;=0,(C72*D72+E72)/C72,(F73*G73+C72*D72+E72)/(G73+C72)),IF(B72="卖出",IF(G73-C72&lt;=0,F73,(F73*G73-C72*D72+E72)/(G73-C72)),""))</f>
        <v/>
      </c>
      <c r="G72" s="8">
        <f>IF(B72="买入",G73+C72,IF(B72="卖出",MAX(0,G73-C72),""))</f>
        <v/>
      </c>
      <c r="H72">
        <f>IF(B72="",H73,IF(B72="买入",H73,IF(B72="卖出",IF(G72=0,0,H73+(D72-F72)*C72-E72),H73)))</f>
        <v/>
      </c>
    </row>
    <row r="73">
      <c r="A73" s="6" t="n"/>
      <c r="B73" s="7" t="n"/>
      <c r="C73" s="7" t="n"/>
      <c r="D73" s="7" t="n"/>
      <c r="E73" s="7" t="n"/>
      <c r="F73" s="8">
        <f>IF(B73="买入",IF(G74&lt;=0,(C73*D73+E73)/C73,(F74*G74+C73*D73+E73)/(G74+C73)),IF(B73="卖出",IF(G74-C73&lt;=0,F74,(F74*G74-C73*D73+E73)/(G74-C73)),""))</f>
        <v/>
      </c>
      <c r="G73" s="8">
        <f>IF(B73="买入",G74+C73,IF(B73="卖出",MAX(0,G74-C73),""))</f>
        <v/>
      </c>
      <c r="H73">
        <f>IF(B73="",H74,IF(B73="买入",H74,IF(B73="卖出",IF(G73=0,0,H74+(D73-F73)*C73-E73),H74)))</f>
        <v/>
      </c>
    </row>
    <row r="74">
      <c r="A74" s="6" t="n"/>
      <c r="B74" s="7" t="n"/>
      <c r="C74" s="7" t="n"/>
      <c r="D74" s="7" t="n"/>
      <c r="E74" s="7" t="n"/>
      <c r="F74" s="8">
        <f>IF(B74="买入",IF(G75&lt;=0,(C74*D74+E74)/C74,(F75*G75+C74*D74+E74)/(G75+C74)),IF(B74="卖出",IF(G75-C74&lt;=0,F75,(F75*G75-C74*D74+E74)/(G75-C74)),""))</f>
        <v/>
      </c>
      <c r="G74" s="8">
        <f>IF(B74="买入",G75+C74,IF(B74="卖出",MAX(0,G75-C74),""))</f>
        <v/>
      </c>
      <c r="H74">
        <f>IF(B74="",H75,IF(B74="买入",H75,IF(B74="卖出",IF(G74=0,0,H75+(D74-F74)*C74-E74),H75)))</f>
        <v/>
      </c>
    </row>
    <row r="75">
      <c r="A75" s="6" t="n"/>
      <c r="B75" s="7" t="n"/>
      <c r="C75" s="7" t="n"/>
      <c r="D75" s="7" t="n"/>
      <c r="E75" s="7" t="n"/>
      <c r="F75" s="8">
        <f>IF(B75="买入",IF(G76&lt;=0,(C75*D75+E75)/C75,(F76*G76+C75*D75+E75)/(G76+C75)),IF(B75="卖出",IF(G76-C75&lt;=0,F76,(F76*G76-C75*D75+E75)/(G76-C75)),""))</f>
        <v/>
      </c>
      <c r="G75" s="8">
        <f>IF(B75="买入",G76+C75,IF(B75="卖出",MAX(0,G76-C75),""))</f>
        <v/>
      </c>
      <c r="H75">
        <f>IF(B75="",H76,IF(B75="买入",H76,IF(B75="卖出",IF(G75=0,0,H76+(D75-F75)*C75-E75),H76)))</f>
        <v/>
      </c>
    </row>
    <row r="76">
      <c r="A76" s="6" t="n"/>
      <c r="B76" s="7" t="n"/>
      <c r="C76" s="7" t="n"/>
      <c r="D76" s="7" t="n"/>
      <c r="E76" s="7" t="n"/>
      <c r="F76" s="8">
        <f>IF(B76="买入",IF(G77&lt;=0,(C76*D76+E76)/C76,(F77*G77+C76*D76+E76)/(G77+C76)),IF(B76="卖出",IF(G77-C76&lt;=0,F77,(F77*G77-C76*D76+E76)/(G77-C76)),""))</f>
        <v/>
      </c>
      <c r="G76" s="8">
        <f>IF(B76="买入",G77+C76,IF(B76="卖出",MAX(0,G77-C76),""))</f>
        <v/>
      </c>
      <c r="H76">
        <f>IF(B76="",H77,IF(B76="买入",H77,IF(B76="卖出",IF(G76=0,0,H77+(D76-F76)*C76-E76),H77)))</f>
        <v/>
      </c>
    </row>
    <row r="77">
      <c r="A77" s="6" t="n"/>
      <c r="B77" s="7" t="n"/>
      <c r="C77" s="7" t="n"/>
      <c r="D77" s="7" t="n"/>
      <c r="E77" s="7" t="n"/>
      <c r="F77" s="8">
        <f>IF(B77="买入",IF(G78&lt;=0,(C77*D77+E77)/C77,(F78*G78+C77*D77+E77)/(G78+C77)),IF(B77="卖出",IF(G78-C77&lt;=0,F78,(F78*G78-C77*D77+E77)/(G78-C77)),""))</f>
        <v/>
      </c>
      <c r="G77" s="8">
        <f>IF(B77="买入",G78+C77,IF(B77="卖出",MAX(0,G78-C77),""))</f>
        <v/>
      </c>
      <c r="H77">
        <f>IF(B77="",H78,IF(B77="买入",H78,IF(B77="卖出",IF(G77=0,0,H78+(D77-F77)*C77-E77),H78)))</f>
        <v/>
      </c>
    </row>
    <row r="78">
      <c r="A78" s="6" t="n"/>
      <c r="B78" s="7" t="n"/>
      <c r="C78" s="7" t="n"/>
      <c r="D78" s="7" t="n"/>
      <c r="E78" s="7" t="n"/>
      <c r="F78" s="8">
        <f>IF(B78="买入",IF(G79&lt;=0,(C78*D78+E78)/C78,(F79*G79+C78*D78+E78)/(G79+C78)),IF(B78="卖出",IF(G79-C78&lt;=0,F79,(F79*G79-C78*D78+E78)/(G79-C78)),""))</f>
        <v/>
      </c>
      <c r="G78" s="8">
        <f>IF(B78="买入",G79+C78,IF(B78="卖出",MAX(0,G79-C78),""))</f>
        <v/>
      </c>
      <c r="H78">
        <f>IF(B78="",H79,IF(B78="买入",H79,IF(B78="卖出",IF(G78=0,0,H79+(D78-F78)*C78-E78),H79)))</f>
        <v/>
      </c>
    </row>
    <row r="79">
      <c r="A79" s="6" t="n"/>
      <c r="B79" s="7" t="n"/>
      <c r="C79" s="7" t="n"/>
      <c r="D79" s="7" t="n"/>
      <c r="E79" s="7" t="n"/>
      <c r="F79" s="8">
        <f>IF(B79="买入",IF(G80&lt;=0,(C79*D79+E79)/C79,(F80*G80+C79*D79+E79)/(G80+C79)),IF(B79="卖出",IF(G80-C79&lt;=0,F80,(F80*G80-C79*D79+E79)/(G80-C79)),""))</f>
        <v/>
      </c>
      <c r="G79" s="8">
        <f>IF(B79="买入",G80+C79,IF(B79="卖出",MAX(0,G80-C79),""))</f>
        <v/>
      </c>
      <c r="H79">
        <f>IF(B79="",H80,IF(B79="买入",H80,IF(B79="卖出",IF(G79=0,0,H80+(D79-F79)*C79-E79),H80)))</f>
        <v/>
      </c>
    </row>
    <row r="80">
      <c r="A80" s="6" t="n"/>
      <c r="B80" s="7" t="n"/>
      <c r="C80" s="7" t="n"/>
      <c r="D80" s="7" t="n"/>
      <c r="E80" s="7" t="n"/>
      <c r="F80" s="8">
        <f>IF(B80="买入",IF(G81&lt;=0,(C80*D80+E80)/C80,(F81*G81+C80*D80+E80)/(G81+C80)),IF(B80="卖出",IF(G81-C80&lt;=0,F81,(F81*G81-C80*D80+E80)/(G81-C80)),""))</f>
        <v/>
      </c>
      <c r="G80" s="8">
        <f>IF(B80="买入",G81+C80,IF(B80="卖出",MAX(0,G81-C80),""))</f>
        <v/>
      </c>
      <c r="H80">
        <f>IF(B80="",H81,IF(B80="买入",H81,IF(B80="卖出",IF(G80=0,0,H81+(D80-F80)*C80-E80),H81)))</f>
        <v/>
      </c>
    </row>
    <row r="81">
      <c r="A81" s="6" t="n"/>
      <c r="B81" s="7" t="n"/>
      <c r="C81" s="7" t="n"/>
      <c r="D81" s="7" t="n"/>
      <c r="E81" s="7" t="n"/>
      <c r="F81" s="8">
        <f>IF(B81="买入",IF(G82&lt;=0,(C81*D81+E81)/C81,(F82*G82+C81*D81+E81)/(G82+C81)),IF(B81="卖出",IF(G82-C81&lt;=0,F82,(F82*G82-C81*D81+E81)/(G82-C81)),""))</f>
        <v/>
      </c>
      <c r="G81" s="8">
        <f>IF(B81="买入",G82+C81,IF(B81="卖出",MAX(0,G82-C81),""))</f>
        <v/>
      </c>
      <c r="H81">
        <f>IF(B81="",H82,IF(B81="买入",H82,IF(B81="卖出",IF(G81=0,0,H82+(D81-F81)*C81-E81),H82)))</f>
        <v/>
      </c>
    </row>
    <row r="82">
      <c r="A82" s="6" t="n"/>
      <c r="B82" s="7" t="n"/>
      <c r="C82" s="7" t="n"/>
      <c r="D82" s="7" t="n"/>
      <c r="E82" s="7" t="n"/>
      <c r="F82" s="8">
        <f>IF(B82="买入",IF(G83&lt;=0,(C82*D82+E82)/C82,(F83*G83+C82*D82+E82)/(G83+C82)),IF(B82="卖出",IF(G83-C82&lt;=0,F83,(F83*G83-C82*D82+E82)/(G83-C82)),""))</f>
        <v/>
      </c>
      <c r="G82" s="8">
        <f>IF(B82="买入",G83+C82,IF(B82="卖出",MAX(0,G83-C82),""))</f>
        <v/>
      </c>
      <c r="H82">
        <f>IF(B82="",H83,IF(B82="买入",H83,IF(B82="卖出",IF(G82=0,0,H83+(D82-F82)*C82-E82),H83)))</f>
        <v/>
      </c>
    </row>
    <row r="83">
      <c r="A83" s="6" t="n"/>
      <c r="B83" s="7" t="n"/>
      <c r="C83" s="7" t="n"/>
      <c r="D83" s="7" t="n"/>
      <c r="E83" s="7" t="n"/>
      <c r="F83" s="8">
        <f>IF(B83="买入",IF(G84&lt;=0,(C83*D83+E83)/C83,(F84*G84+C83*D83+E83)/(G84+C83)),IF(B83="卖出",IF(G84-C83&lt;=0,F84,(F84*G84-C83*D83+E83)/(G84-C83)),""))</f>
        <v/>
      </c>
      <c r="G83" s="8">
        <f>IF(B83="买入",G84+C83,IF(B83="卖出",MAX(0,G84-C83),""))</f>
        <v/>
      </c>
      <c r="H83">
        <f>IF(B83="",H84,IF(B83="买入",H84,IF(B83="卖出",IF(G83=0,0,H84+(D83-F83)*C83-E83),H84)))</f>
        <v/>
      </c>
    </row>
    <row r="84">
      <c r="A84" s="6" t="n"/>
      <c r="B84" s="7" t="n"/>
      <c r="C84" s="7" t="n"/>
      <c r="D84" s="7" t="n"/>
      <c r="E84" s="7" t="n"/>
      <c r="F84" s="8">
        <f>IF(B84="买入",IF(G85&lt;=0,(C84*D84+E84)/C84,(F85*G85+C84*D84+E84)/(G85+C84)),IF(B84="卖出",IF(G85-C84&lt;=0,F85,(F85*G85-C84*D84+E84)/(G85-C84)),""))</f>
        <v/>
      </c>
      <c r="G84" s="8">
        <f>IF(B84="买入",G85+C84,IF(B84="卖出",MAX(0,G85-C84),""))</f>
        <v/>
      </c>
      <c r="H84">
        <f>IF(B84="",H85,IF(B84="买入",H85,IF(B84="卖出",IF(G84=0,0,H85+(D84-F84)*C84-E84),H85)))</f>
        <v/>
      </c>
    </row>
    <row r="85">
      <c r="A85" s="6" t="n"/>
      <c r="B85" s="7" t="n"/>
      <c r="C85" s="7" t="n"/>
      <c r="D85" s="7" t="n"/>
      <c r="E85" s="7" t="n"/>
      <c r="F85" s="8">
        <f>IF(B85="买入",IF(G86&lt;=0,(C85*D85+E85)/C85,(F86*G86+C85*D85+E85)/(G86+C85)),IF(B85="卖出",IF(G86-C85&lt;=0,F86,(F86*G86-C85*D85+E85)/(G86-C85)),""))</f>
        <v/>
      </c>
      <c r="G85" s="8">
        <f>IF(B85="买入",G86+C85,IF(B85="卖出",MAX(0,G86-C85),""))</f>
        <v/>
      </c>
      <c r="H85">
        <f>IF(B85="",H86,IF(B85="买入",H86,IF(B85="卖出",IF(G85=0,0,H86+(D85-F85)*C85-E85),H86)))</f>
        <v/>
      </c>
    </row>
    <row r="86">
      <c r="A86" s="6" t="n"/>
      <c r="B86" s="7" t="n"/>
      <c r="C86" s="7" t="n"/>
      <c r="D86" s="7" t="n"/>
      <c r="E86" s="7" t="n"/>
      <c r="F86" s="8">
        <f>IF(B86="买入",IF(G87&lt;=0,(C86*D86+E86)/C86,(F87*G87+C86*D86+E86)/(G87+C86)),IF(B86="卖出",IF(G87-C86&lt;=0,F87,(F87*G87-C86*D86+E86)/(G87-C86)),""))</f>
        <v/>
      </c>
      <c r="G86" s="8">
        <f>IF(B86="买入",G87+C86,IF(B86="卖出",MAX(0,G87-C86),""))</f>
        <v/>
      </c>
      <c r="H86">
        <f>IF(B86="",H87,IF(B86="买入",H87,IF(B86="卖出",IF(G86=0,0,H87+(D86-F86)*C86-E86),H87)))</f>
        <v/>
      </c>
    </row>
    <row r="87">
      <c r="A87" s="6" t="n"/>
      <c r="B87" s="7" t="n"/>
      <c r="C87" s="7" t="n"/>
      <c r="D87" s="7" t="n"/>
      <c r="E87" s="7" t="n"/>
      <c r="F87" s="8">
        <f>IF(B87="买入",IF(G88&lt;=0,(C87*D87+E87)/C87,(F88*G88+C87*D87+E87)/(G88+C87)),IF(B87="卖出",IF(G88-C87&lt;=0,F88,(F88*G88-C87*D87+E87)/(G88-C87)),""))</f>
        <v/>
      </c>
      <c r="G87" s="8">
        <f>IF(B87="买入",G88+C87,IF(B87="卖出",MAX(0,G88-C87),""))</f>
        <v/>
      </c>
      <c r="H87">
        <f>IF(B87="",H88,IF(B87="买入",H88,IF(B87="卖出",IF(G87=0,0,H88+(D87-F87)*C87-E87),H88)))</f>
        <v/>
      </c>
    </row>
    <row r="88">
      <c r="A88" s="6" t="n"/>
      <c r="B88" s="7" t="n"/>
      <c r="C88" s="7" t="n"/>
      <c r="D88" s="7" t="n"/>
      <c r="E88" s="7" t="n"/>
      <c r="F88" s="8">
        <f>IF(B88="买入",IF(G89&lt;=0,(C88*D88+E88)/C88,(F89*G89+C88*D88+E88)/(G89+C88)),IF(B88="卖出",IF(G89-C88&lt;=0,F89,(F89*G89-C88*D88+E88)/(G89-C88)),""))</f>
        <v/>
      </c>
      <c r="G88" s="8">
        <f>IF(B88="买入",G89+C88,IF(B88="卖出",MAX(0,G89-C88),""))</f>
        <v/>
      </c>
      <c r="H88">
        <f>IF(B88="",H89,IF(B88="买入",H89,IF(B88="卖出",IF(G88=0,0,H89+(D88-F88)*C88-E88),H89)))</f>
        <v/>
      </c>
    </row>
    <row r="89">
      <c r="A89" s="6" t="n"/>
      <c r="B89" s="7" t="n"/>
      <c r="C89" s="7" t="n"/>
      <c r="D89" s="7" t="n"/>
      <c r="E89" s="7" t="n"/>
      <c r="F89" s="8">
        <f>IF(B89="买入",IF(G90&lt;=0,(C89*D89+E89)/C89,(F90*G90+C89*D89+E89)/(G90+C89)),IF(B89="卖出",IF(G90-C89&lt;=0,F90,(F90*G90-C89*D89+E89)/(G90-C89)),""))</f>
        <v/>
      </c>
      <c r="G89" s="8">
        <f>IF(B89="买入",G90+C89,IF(B89="卖出",MAX(0,G90-C89),""))</f>
        <v/>
      </c>
      <c r="H89">
        <f>IF(B89="",H90,IF(B89="买入",H90,IF(B89="卖出",IF(G89=0,0,H90+(D89-F89)*C89-E89),H90)))</f>
        <v/>
      </c>
    </row>
    <row r="90">
      <c r="A90" s="6" t="n"/>
      <c r="B90" s="7" t="n"/>
      <c r="C90" s="7" t="n"/>
      <c r="D90" s="7" t="n"/>
      <c r="E90" s="7" t="n"/>
      <c r="F90" s="8">
        <f>IF(B90="买入",IF(G91&lt;=0,(C90*D90+E90)/C90,(F91*G91+C90*D90+E90)/(G91+C90)),IF(B90="卖出",IF(G91-C90&lt;=0,F91,(F91*G91-C90*D90+E90)/(G91-C90)),""))</f>
        <v/>
      </c>
      <c r="G90" s="8">
        <f>IF(B90="买入",G91+C90,IF(B90="卖出",MAX(0,G91-C90),""))</f>
        <v/>
      </c>
      <c r="H90">
        <f>IF(B90="",H91,IF(B90="买入",H91,IF(B90="卖出",IF(G90=0,0,H91+(D90-F90)*C90-E90),H91)))</f>
        <v/>
      </c>
    </row>
    <row r="91">
      <c r="A91" s="6" t="n"/>
      <c r="B91" s="7" t="n"/>
      <c r="C91" s="7" t="n"/>
      <c r="D91" s="7" t="n"/>
      <c r="E91" s="7" t="n"/>
      <c r="F91" s="8">
        <f>IF(B91="买入",IF(G92&lt;=0,(C91*D91+E91)/C91,(F92*G92+C91*D91+E91)/(G92+C91)),IF(B91="卖出",IF(G92-C91&lt;=0,F92,(F92*G92-C91*D91+E91)/(G92-C91)),""))</f>
        <v/>
      </c>
      <c r="G91" s="8">
        <f>IF(B91="买入",G92+C91,IF(B91="卖出",MAX(0,G92-C91),""))</f>
        <v/>
      </c>
      <c r="H91">
        <f>IF(B91="",H92,IF(B91="买入",H92,IF(B91="卖出",IF(G91=0,0,H92+(D91-F91)*C91-E91),H92)))</f>
        <v/>
      </c>
    </row>
    <row r="92">
      <c r="A92" s="6" t="n"/>
      <c r="B92" s="7" t="n"/>
      <c r="C92" s="7" t="n"/>
      <c r="D92" s="7" t="n"/>
      <c r="E92" s="7" t="n"/>
      <c r="F92" s="8">
        <f>IF(B92="买入",IF(G93&lt;=0,(C92*D92+E92)/C92,(F93*G93+C92*D92+E92)/(G93+C92)),IF(B92="卖出",IF(G93-C92&lt;=0,F93,(F93*G93-C92*D92+E92)/(G93-C92)),""))</f>
        <v/>
      </c>
      <c r="G92" s="8">
        <f>IF(B92="买入",G93+C92,IF(B92="卖出",MAX(0,G93-C92),""))</f>
        <v/>
      </c>
      <c r="H92">
        <f>IF(B92="",H93,IF(B92="买入",H93,IF(B92="卖出",IF(G92=0,0,H93+(D92-F92)*C92-E92),H93)))</f>
        <v/>
      </c>
    </row>
    <row r="93">
      <c r="A93" s="6" t="n"/>
      <c r="B93" s="7" t="n"/>
      <c r="C93" s="7" t="n"/>
      <c r="D93" s="7" t="n"/>
      <c r="E93" s="7" t="n"/>
      <c r="F93" s="8">
        <f>IF(B93="买入",IF(G94&lt;=0,(C93*D93+E93)/C93,(F94*G94+C93*D93+E93)/(G94+C93)),IF(B93="卖出",IF(G94-C93&lt;=0,F94,(F94*G94-C93*D93+E93)/(G94-C93)),""))</f>
        <v/>
      </c>
      <c r="G93" s="8">
        <f>IF(B93="买入",G94+C93,IF(B93="卖出",MAX(0,G94-C93),""))</f>
        <v/>
      </c>
      <c r="H93">
        <f>IF(B93="",H94,IF(B93="买入",H94,IF(B93="卖出",IF(G93=0,0,H94+(D93-F93)*C93-E93),H94)))</f>
        <v/>
      </c>
    </row>
    <row r="94">
      <c r="A94" s="6" t="n"/>
      <c r="B94" s="7" t="n"/>
      <c r="C94" s="7" t="n"/>
      <c r="D94" s="7" t="n"/>
      <c r="E94" s="7" t="n"/>
      <c r="F94" s="8">
        <f>IF(B94="买入",IF(G95&lt;=0,(C94*D94+E94)/C94,(F95*G95+C94*D94+E94)/(G95+C94)),IF(B94="卖出",IF(G95-C94&lt;=0,F95,(F95*G95-C94*D94+E94)/(G95-C94)),""))</f>
        <v/>
      </c>
      <c r="G94" s="8">
        <f>IF(B94="买入",G95+C94,IF(B94="卖出",MAX(0,G95-C94),""))</f>
        <v/>
      </c>
      <c r="H94">
        <f>IF(B94="",H95,IF(B94="买入",H95,IF(B94="卖出",IF(G94=0,0,H95+(D94-F94)*C94-E94),H95)))</f>
        <v/>
      </c>
    </row>
    <row r="95">
      <c r="A95" s="6" t="n"/>
      <c r="B95" s="7" t="n"/>
      <c r="C95" s="7" t="n"/>
      <c r="D95" s="7" t="n"/>
      <c r="E95" s="7" t="n"/>
      <c r="F95" s="8">
        <f>IF(B95="买入",IF(G96&lt;=0,(C95*D95+E95)/C95,(F96*G96+C95*D95+E95)/(G96+C95)),IF(B95="卖出",IF(G96-C95&lt;=0,F96,(F96*G96-C95*D95+E95)/(G96-C95)),""))</f>
        <v/>
      </c>
      <c r="G95" s="8">
        <f>IF(B95="买入",G96+C95,IF(B95="卖出",MAX(0,G96-C95),""))</f>
        <v/>
      </c>
      <c r="H95">
        <f>IF(B95="",H96,IF(B95="买入",H96,IF(B95="卖出",IF(G95=0,0,H96+(D95-F95)*C95-E95),H96)))</f>
        <v/>
      </c>
    </row>
    <row r="96">
      <c r="A96" s="6" t="n"/>
      <c r="B96" s="7" t="n"/>
      <c r="C96" s="7" t="n"/>
      <c r="D96" s="7" t="n"/>
      <c r="E96" s="7" t="n"/>
      <c r="F96" s="8">
        <f>IF(B96="买入",IF(G97&lt;=0,(C96*D96+E96)/C96,(F97*G97+C96*D96+E96)/(G97+C96)),IF(B96="卖出",IF(G97-C96&lt;=0,F97,(F97*G97-C96*D96+E96)/(G97-C96)),""))</f>
        <v/>
      </c>
      <c r="G96" s="8">
        <f>IF(B96="买入",G97+C96,IF(B96="卖出",MAX(0,G97-C96),""))</f>
        <v/>
      </c>
      <c r="H96">
        <f>IF(B96="",H97,IF(B96="买入",H97,IF(B96="卖出",IF(G96=0,0,H97+(D96-F96)*C96-E96),H97)))</f>
        <v/>
      </c>
    </row>
    <row r="97">
      <c r="A97" s="6" t="n"/>
      <c r="B97" s="7" t="n"/>
      <c r="C97" s="7" t="n"/>
      <c r="D97" s="7" t="n"/>
      <c r="E97" s="7" t="n"/>
      <c r="F97" s="8">
        <f>IF(B97="买入",IF(G98&lt;=0,(C97*D97+E97)/C97,(F98*G98+C97*D97+E97)/(G98+C97)),IF(B97="卖出",IF(G98-C97&lt;=0,F98,(F98*G98-C97*D97+E97)/(G98-C97)),""))</f>
        <v/>
      </c>
      <c r="G97" s="8">
        <f>IF(B97="买入",G98+C97,IF(B97="卖出",MAX(0,G98-C97),""))</f>
        <v/>
      </c>
      <c r="H97">
        <f>IF(B97="",H98,IF(B97="买入",H98,IF(B97="卖出",IF(G97=0,0,H98+(D97-F97)*C97-E97),H98)))</f>
        <v/>
      </c>
    </row>
    <row r="98">
      <c r="A98" s="6" t="n"/>
      <c r="B98" s="7" t="n"/>
      <c r="C98" s="7" t="n"/>
      <c r="D98" s="7" t="n"/>
      <c r="E98" s="7" t="n"/>
      <c r="F98" s="8">
        <f>IF(B98="买入",IF(G99&lt;=0,(C98*D98+E98)/C98,(F99*G99+C98*D98+E98)/(G99+C98)),IF(B98="卖出",IF(G99-C98&lt;=0,F99,(F99*G99-C98*D98+E98)/(G99-C98)),""))</f>
        <v/>
      </c>
      <c r="G98" s="8">
        <f>IF(B98="买入",G99+C98,IF(B98="卖出",MAX(0,G99-C98),""))</f>
        <v/>
      </c>
      <c r="H98">
        <f>IF(B98="",H99,IF(B98="买入",H99,IF(B98="卖出",IF(G98=0,0,H99+(D98-F98)*C98-E98),H99)))</f>
        <v/>
      </c>
    </row>
    <row r="99">
      <c r="A99" s="6" t="n"/>
      <c r="B99" s="7" t="n"/>
      <c r="C99" s="7" t="n"/>
      <c r="D99" s="7" t="n"/>
      <c r="E99" s="7" t="n"/>
      <c r="F99" s="8">
        <f>IF(B99="买入",IF(G100&lt;=0,(C99*D99+E99)/C99,(F100*G100+C99*D99+E99)/(G100+C99)),IF(B99="卖出",IF(G100-C99&lt;=0,F100,(F100*G100-C99*D99+E99)/(G100-C99)),""))</f>
        <v/>
      </c>
      <c r="G99" s="8">
        <f>IF(B99="买入",G100+C99,IF(B99="卖出",MAX(0,G100-C99),""))</f>
        <v/>
      </c>
      <c r="H99">
        <f>IF(B99="",H100,IF(B99="买入",H100,IF(B99="卖出",IF(G99=0,0,H100+(D99-F99)*C99-E99),H100)))</f>
        <v/>
      </c>
    </row>
    <row r="100">
      <c r="A100" s="6" t="n"/>
      <c r="B100" s="7" t="n"/>
      <c r="C100" s="7" t="n"/>
      <c r="D100" s="7" t="n"/>
      <c r="E100" s="7" t="n"/>
      <c r="F100" s="8">
        <f>IF(B100="买入",IF(G101&lt;=0,(C100*D100+E100)/C100,(F101*G101+C100*D100+E100)/(G101+C100)),IF(B100="卖出",IF(G101-C100&lt;=0,F101,(F101*G101-C100*D100+E100)/(G101-C100)),""))</f>
        <v/>
      </c>
      <c r="G100" s="8">
        <f>IF(B100="买入",G101+C100,IF(B100="卖出",MAX(0,G101-C100),""))</f>
        <v/>
      </c>
      <c r="H100">
        <f>IF(B100="",H101,IF(B100="买入",H101,IF(B100="卖出",IF(G100=0,0,H101+(D100-F100)*C100-E100),H101)))</f>
        <v/>
      </c>
    </row>
    <row r="101">
      <c r="A101" s="6" t="n"/>
      <c r="B101" s="7" t="n"/>
      <c r="C101" s="7" t="n"/>
      <c r="D101" s="7" t="n"/>
      <c r="E101" s="7" t="n"/>
      <c r="F101" s="8">
        <f>IF(B101="买入",IF(G102&lt;=0,(C101*D101+E101)/C101,(F102*G102+C101*D101+E101)/(G102+C101)),IF(B101="卖出",IF(G102-C101&lt;=0,F102,(F102*G102-C101*D101+E101)/(G102-C101)),""))</f>
        <v/>
      </c>
      <c r="G101" s="8">
        <f>IF(B101="买入",G102+C101,IF(B101="卖出",MAX(0,G102-C101),""))</f>
        <v/>
      </c>
      <c r="H101">
        <f>IF(B101="",0,IF(B101="买入",0,IF(B101="卖出",IF(G101=0,0,(D101-F101)*C101-E101),0)))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5">
    <mergeCell ref="A1:G1"/>
    <mergeCell ref="A3:G3"/>
    <mergeCell ref="A4:G4"/>
    <mergeCell ref="A2:G2"/>
    <mergeCell ref="A5:G5"/>
  </mergeCells>
  <conditionalFormatting sqref="A7:G101">
    <cfRule type="expression" priority="1" dxfId="0">
      <formula>COUNTA($A7:$E7)&gt;0</formula>
    </cfRule>
  </conditionalFormatting>
  <conditionalFormatting sqref="B7:B101">
    <cfRule type="expression" priority="2" dxfId="1">
      <formula>B7="买入"</formula>
    </cfRule>
    <cfRule type="expression" priority="3" dxfId="2">
      <formula>B7="卖出"</formula>
    </cfRule>
  </conditionalFormatting>
  <dataValidations count="1">
    <dataValidation sqref="B7:B101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hidden="1" width="13" customWidth="1" min="8" max="8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🟢 买入成本 = (原成本×原股数 + 买入金额 + 手续费) ÷ (原股数 + 买入股数)  |  🔴 卖出时成本不变，清仓后重新买入按新买入价计算</t>
        </is>
      </c>
    </row>
    <row r="4" ht="12" customHeight="1">
      <c r="A4" s="2" t="inlineStr">
        <is>
          <t>--------------------------------------------------------------------------------</t>
        </is>
      </c>
    </row>
    <row r="5" ht="22" customHeight="1">
      <c r="A5" s="4">
        <f>IF(COUNTA(B7:B101)=0,"","⚖️ 盈亏平衡点: $"&amp;TEXT(F7-IFERROR(H7/G7,0),"#,##0.00")&amp;"  (差价: $"&amp;TEXT(-IFERROR(H7/G7,0),"#,##0.00")&amp;")")</f>
        <v/>
      </c>
    </row>
    <row r="6" ht="22" customHeight="1">
      <c r="A6" s="5" t="inlineStr">
        <is>
          <t>日期</t>
        </is>
      </c>
      <c r="B6" s="5" t="inlineStr">
        <is>
          <t>操作</t>
        </is>
      </c>
      <c r="C6" s="5" t="inlineStr">
        <is>
          <t>数量</t>
        </is>
      </c>
      <c r="D6" s="5" t="inlineStr">
        <is>
          <t>价格</t>
        </is>
      </c>
      <c r="E6" s="5" t="inlineStr">
        <is>
          <t>手续费</t>
        </is>
      </c>
      <c r="F6" s="5" t="inlineStr">
        <is>
          <t>持仓成本</t>
        </is>
      </c>
      <c r="G6" s="5" t="inlineStr">
        <is>
          <t>累计持仓</t>
        </is>
      </c>
    </row>
    <row r="7">
      <c r="A7" s="6" t="inlineStr">
        <is>
          <t>2026-06-02</t>
        </is>
      </c>
      <c r="B7" s="7" t="inlineStr">
        <is>
          <t>买入</t>
        </is>
      </c>
      <c r="C7" s="7" t="n">
        <v>5</v>
      </c>
      <c r="D7" s="7" t="n">
        <v>258</v>
      </c>
      <c r="E7" s="7" t="n">
        <v>0</v>
      </c>
      <c r="F7" s="8">
        <f>IF(B7="买入",(C7*D7+E7)/C7,"")</f>
        <v/>
      </c>
      <c r="G7" s="8">
        <f>IF(B7="买入",C7,IF(B7="卖出",-C7,""))</f>
        <v/>
      </c>
      <c r="H7">
        <f>IF(B7="买入",0,IF(B7="卖出",IF(G7=0,0,(D7-F7)*C7-E7),0))</f>
        <v/>
      </c>
    </row>
    <row r="8">
      <c r="A8" s="6" t="n"/>
      <c r="B8" s="7" t="n"/>
      <c r="C8" s="7" t="n"/>
      <c r="D8" s="7" t="n"/>
      <c r="E8" s="7" t="n"/>
      <c r="F8" s="8">
        <f>IF(B8="买入",IF(G9&lt;=0,(C8*D8+E8)/C8,(F9*G9+C8*D8+E8)/(G9+C8)),IF(B8="卖出",IF(G9-C8&lt;=0,F9,(F9*G9-C8*D8+E8)/(G9-C8)),""))</f>
        <v/>
      </c>
      <c r="G8" s="8">
        <f>IF(B8="买入",G9+C8,IF(B8="卖出",MAX(0,G9-C8),""))</f>
        <v/>
      </c>
      <c r="H8">
        <f>IF(B8="",H9,IF(B8="买入",H9,IF(B8="卖出",IF(G8=0,0,H9+(D8-F8)*C8-E8),H9)))</f>
        <v/>
      </c>
    </row>
    <row r="9">
      <c r="A9" s="6" t="n"/>
      <c r="B9" s="7" t="n"/>
      <c r="C9" s="7" t="n"/>
      <c r="D9" s="7" t="n"/>
      <c r="E9" s="7" t="n"/>
      <c r="F9" s="8">
        <f>IF(B9="买入",IF(G10&lt;=0,(C9*D9+E9)/C9,(F10*G10+C9*D9+E9)/(G10+C9)),IF(B9="卖出",IF(G10-C9&lt;=0,F10,(F10*G10-C9*D9+E9)/(G10-C9)),""))</f>
        <v/>
      </c>
      <c r="G9" s="8">
        <f>IF(B9="买入",G10+C9,IF(B9="卖出",MAX(0,G10-C9),""))</f>
        <v/>
      </c>
      <c r="H9">
        <f>IF(B9="",H10,IF(B9="买入",H10,IF(B9="卖出",IF(G9=0,0,H10+(D9-F9)*C9-E9),H10)))</f>
        <v/>
      </c>
    </row>
    <row r="10">
      <c r="A10" s="6" t="n"/>
      <c r="B10" s="7" t="n"/>
      <c r="C10" s="7" t="n"/>
      <c r="D10" s="7" t="n"/>
      <c r="E10" s="7" t="n"/>
      <c r="F10" s="8">
        <f>IF(B10="买入",IF(G11&lt;=0,(C10*D10+E10)/C10,(F11*G11+C10*D10+E10)/(G11+C10)),IF(B10="卖出",IF(G11-C10&lt;=0,F11,(F11*G11-C10*D10+E10)/(G11-C10)),""))</f>
        <v/>
      </c>
      <c r="G10" s="8">
        <f>IF(B10="买入",G11+C10,IF(B10="卖出",MAX(0,G11-C10),""))</f>
        <v/>
      </c>
      <c r="H10">
        <f>IF(B10="",H11,IF(B10="买入",H11,IF(B10="卖出",IF(G10=0,0,H11+(D10-F10)*C10-E10),H11)))</f>
        <v/>
      </c>
    </row>
    <row r="11">
      <c r="A11" s="6" t="n"/>
      <c r="B11" s="7" t="n"/>
      <c r="C11" s="7" t="n"/>
      <c r="D11" s="7" t="n"/>
      <c r="E11" s="7" t="n"/>
      <c r="F11" s="8">
        <f>IF(B11="买入",IF(G12&lt;=0,(C11*D11+E11)/C11,(F12*G12+C11*D11+E11)/(G12+C11)),IF(B11="卖出",IF(G12-C11&lt;=0,F12,(F12*G12-C11*D11+E11)/(G12-C11)),""))</f>
        <v/>
      </c>
      <c r="G11" s="8">
        <f>IF(B11="买入",G12+C11,IF(B11="卖出",MAX(0,G12-C11),""))</f>
        <v/>
      </c>
      <c r="H11">
        <f>IF(B11="",H12,IF(B11="买入",H12,IF(B11="卖出",IF(G11=0,0,H12+(D11-F11)*C11-E11),H12)))</f>
        <v/>
      </c>
    </row>
    <row r="12">
      <c r="A12" s="6" t="n"/>
      <c r="B12" s="7" t="n"/>
      <c r="C12" s="7" t="n"/>
      <c r="D12" s="7" t="n"/>
      <c r="E12" s="7" t="n"/>
      <c r="F12" s="8">
        <f>IF(B12="买入",IF(G13&lt;=0,(C12*D12+E12)/C12,(F13*G13+C12*D12+E12)/(G13+C12)),IF(B12="卖出",IF(G13-C12&lt;=0,F13,(F13*G13-C12*D12+E12)/(G13-C12)),""))</f>
        <v/>
      </c>
      <c r="G12" s="8">
        <f>IF(B12="买入",G13+C12,IF(B12="卖出",MAX(0,G13-C12),""))</f>
        <v/>
      </c>
      <c r="H12">
        <f>IF(B12="",H13,IF(B12="买入",H13,IF(B12="卖出",IF(G12=0,0,H13+(D12-F12)*C12-E12),H13)))</f>
        <v/>
      </c>
    </row>
    <row r="13">
      <c r="A13" s="6" t="n"/>
      <c r="B13" s="7" t="n"/>
      <c r="C13" s="7" t="n"/>
      <c r="D13" s="7" t="n"/>
      <c r="E13" s="7" t="n"/>
      <c r="F13" s="8">
        <f>IF(B13="买入",IF(G14&lt;=0,(C13*D13+E13)/C13,(F14*G14+C13*D13+E13)/(G14+C13)),IF(B13="卖出",IF(G14-C13&lt;=0,F14,(F14*G14-C13*D13+E13)/(G14-C13)),""))</f>
        <v/>
      </c>
      <c r="G13" s="8">
        <f>IF(B13="买入",G14+C13,IF(B13="卖出",MAX(0,G14-C13),""))</f>
        <v/>
      </c>
      <c r="H13">
        <f>IF(B13="",H14,IF(B13="买入",H14,IF(B13="卖出",IF(G13=0,0,H14+(D13-F13)*C13-E13),H14)))</f>
        <v/>
      </c>
    </row>
    <row r="14">
      <c r="A14" s="6" t="n"/>
      <c r="B14" s="7" t="n"/>
      <c r="C14" s="7" t="n"/>
      <c r="D14" s="7" t="n"/>
      <c r="E14" s="7" t="n"/>
      <c r="F14" s="8">
        <f>IF(B14="买入",IF(G15&lt;=0,(C14*D14+E14)/C14,(F15*G15+C14*D14+E14)/(G15+C14)),IF(B14="卖出",IF(G15-C14&lt;=0,F15,(F15*G15-C14*D14+E14)/(G15-C14)),""))</f>
        <v/>
      </c>
      <c r="G14" s="8">
        <f>IF(B14="买入",G15+C14,IF(B14="卖出",MAX(0,G15-C14),""))</f>
        <v/>
      </c>
      <c r="H14">
        <f>IF(B14="",H15,IF(B14="买入",H15,IF(B14="卖出",IF(G14=0,0,H15+(D14-F14)*C14-E14),H15)))</f>
        <v/>
      </c>
    </row>
    <row r="15">
      <c r="A15" s="6" t="n"/>
      <c r="B15" s="7" t="n"/>
      <c r="C15" s="7" t="n"/>
      <c r="D15" s="7" t="n"/>
      <c r="E15" s="7" t="n"/>
      <c r="F15" s="8">
        <f>IF(B15="买入",IF(G16&lt;=0,(C15*D15+E15)/C15,(F16*G16+C15*D15+E15)/(G16+C15)),IF(B15="卖出",IF(G16-C15&lt;=0,F16,(F16*G16-C15*D15+E15)/(G16-C15)),""))</f>
        <v/>
      </c>
      <c r="G15" s="8">
        <f>IF(B15="买入",G16+C15,IF(B15="卖出",MAX(0,G16-C15),""))</f>
        <v/>
      </c>
      <c r="H15">
        <f>IF(B15="",H16,IF(B15="买入",H16,IF(B15="卖出",IF(G15=0,0,H16+(D15-F15)*C15-E15),H16)))</f>
        <v/>
      </c>
    </row>
    <row r="16">
      <c r="A16" s="6" t="n"/>
      <c r="B16" s="7" t="n"/>
      <c r="C16" s="7" t="n"/>
      <c r="D16" s="7" t="n"/>
      <c r="E16" s="7" t="n"/>
      <c r="F16" s="8">
        <f>IF(B16="买入",IF(G17&lt;=0,(C16*D16+E16)/C16,(F17*G17+C16*D16+E16)/(G17+C16)),IF(B16="卖出",IF(G17-C16&lt;=0,F17,(F17*G17-C16*D16+E16)/(G17-C16)),""))</f>
        <v/>
      </c>
      <c r="G16" s="8">
        <f>IF(B16="买入",G17+C16,IF(B16="卖出",MAX(0,G17-C16),""))</f>
        <v/>
      </c>
      <c r="H16">
        <f>IF(B16="",H17,IF(B16="买入",H17,IF(B16="卖出",IF(G16=0,0,H17+(D16-F16)*C16-E16),H17)))</f>
        <v/>
      </c>
    </row>
    <row r="17">
      <c r="A17" s="6" t="n"/>
      <c r="B17" s="7" t="n"/>
      <c r="C17" s="7" t="n"/>
      <c r="D17" s="7" t="n"/>
      <c r="E17" s="7" t="n"/>
      <c r="F17" s="8">
        <f>IF(B17="买入",IF(G18&lt;=0,(C17*D17+E17)/C17,(F18*G18+C17*D17+E17)/(G18+C17)),IF(B17="卖出",IF(G18-C17&lt;=0,F18,(F18*G18-C17*D17+E17)/(G18-C17)),""))</f>
        <v/>
      </c>
      <c r="G17" s="8">
        <f>IF(B17="买入",G18+C17,IF(B17="卖出",MAX(0,G18-C17),""))</f>
        <v/>
      </c>
      <c r="H17">
        <f>IF(B17="",H18,IF(B17="买入",H18,IF(B17="卖出",IF(G17=0,0,H18+(D17-F17)*C17-E17),H18)))</f>
        <v/>
      </c>
    </row>
    <row r="18">
      <c r="A18" s="6" t="n"/>
      <c r="B18" s="7" t="n"/>
      <c r="C18" s="7" t="n"/>
      <c r="D18" s="7" t="n"/>
      <c r="E18" s="7" t="n"/>
      <c r="F18" s="8">
        <f>IF(B18="买入",IF(G19&lt;=0,(C18*D18+E18)/C18,(F19*G19+C18*D18+E18)/(G19+C18)),IF(B18="卖出",IF(G19-C18&lt;=0,F19,(F19*G19-C18*D18+E18)/(G19-C18)),""))</f>
        <v/>
      </c>
      <c r="G18" s="8">
        <f>IF(B18="买入",G19+C18,IF(B18="卖出",MAX(0,G19-C18),""))</f>
        <v/>
      </c>
      <c r="H18">
        <f>IF(B18="",H19,IF(B18="买入",H19,IF(B18="卖出",IF(G18=0,0,H19+(D18-F18)*C18-E18),H19)))</f>
        <v/>
      </c>
    </row>
    <row r="19">
      <c r="A19" s="6" t="n"/>
      <c r="B19" s="7" t="n"/>
      <c r="C19" s="7" t="n"/>
      <c r="D19" s="7" t="n"/>
      <c r="E19" s="7" t="n"/>
      <c r="F19" s="8">
        <f>IF(B19="买入",IF(G20&lt;=0,(C19*D19+E19)/C19,(F20*G20+C19*D19+E19)/(G20+C19)),IF(B19="卖出",IF(G20-C19&lt;=0,F20,(F20*G20-C19*D19+E19)/(G20-C19)),""))</f>
        <v/>
      </c>
      <c r="G19" s="8">
        <f>IF(B19="买入",G20+C19,IF(B19="卖出",MAX(0,G20-C19),""))</f>
        <v/>
      </c>
      <c r="H19">
        <f>IF(B19="",H20,IF(B19="买入",H20,IF(B19="卖出",IF(G19=0,0,H20+(D19-F19)*C19-E19),H20)))</f>
        <v/>
      </c>
    </row>
    <row r="20">
      <c r="A20" s="6" t="n"/>
      <c r="B20" s="7" t="n"/>
      <c r="C20" s="7" t="n"/>
      <c r="D20" s="7" t="n"/>
      <c r="E20" s="7" t="n"/>
      <c r="F20" s="8">
        <f>IF(B20="买入",IF(G21&lt;=0,(C20*D20+E20)/C20,(F21*G21+C20*D20+E20)/(G21+C20)),IF(B20="卖出",IF(G21-C20&lt;=0,F21,(F21*G21-C20*D20+E20)/(G21-C20)),""))</f>
        <v/>
      </c>
      <c r="G20" s="8">
        <f>IF(B20="买入",G21+C20,IF(B20="卖出",MAX(0,G21-C20),""))</f>
        <v/>
      </c>
      <c r="H20">
        <f>IF(B20="",H21,IF(B20="买入",H21,IF(B20="卖出",IF(G20=0,0,H21+(D20-F20)*C20-E20),H21)))</f>
        <v/>
      </c>
    </row>
    <row r="21">
      <c r="A21" s="6" t="n"/>
      <c r="B21" s="7" t="n"/>
      <c r="C21" s="7" t="n"/>
      <c r="D21" s="7" t="n"/>
      <c r="E21" s="7" t="n"/>
      <c r="F21" s="8">
        <f>IF(B21="买入",IF(G22&lt;=0,(C21*D21+E21)/C21,(F22*G22+C21*D21+E21)/(G22+C21)),IF(B21="卖出",IF(G22-C21&lt;=0,F22,(F22*G22-C21*D21+E21)/(G22-C21)),""))</f>
        <v/>
      </c>
      <c r="G21" s="8">
        <f>IF(B21="买入",G22+C21,IF(B21="卖出",MAX(0,G22-C21),""))</f>
        <v/>
      </c>
      <c r="H21">
        <f>IF(B21="",H22,IF(B21="买入",H22,IF(B21="卖出",IF(G21=0,0,H22+(D21-F21)*C21-E21),H22)))</f>
        <v/>
      </c>
    </row>
    <row r="22">
      <c r="A22" s="6" t="n"/>
      <c r="B22" s="7" t="n"/>
      <c r="C22" s="7" t="n"/>
      <c r="D22" s="7" t="n"/>
      <c r="E22" s="7" t="n"/>
      <c r="F22" s="8">
        <f>IF(B22="买入",IF(G23&lt;=0,(C22*D22+E22)/C22,(F23*G23+C22*D22+E22)/(G23+C22)),IF(B22="卖出",IF(G23-C22&lt;=0,F23,(F23*G23-C22*D22+E22)/(G23-C22)),""))</f>
        <v/>
      </c>
      <c r="G22" s="8">
        <f>IF(B22="买入",G23+C22,IF(B22="卖出",MAX(0,G23-C22),""))</f>
        <v/>
      </c>
      <c r="H22">
        <f>IF(B22="",H23,IF(B22="买入",H23,IF(B22="卖出",IF(G22=0,0,H23+(D22-F22)*C22-E22),H23)))</f>
        <v/>
      </c>
    </row>
    <row r="23">
      <c r="A23" s="6" t="n"/>
      <c r="B23" s="7" t="n"/>
      <c r="C23" s="7" t="n"/>
      <c r="D23" s="7" t="n"/>
      <c r="E23" s="7" t="n"/>
      <c r="F23" s="8">
        <f>IF(B23="买入",IF(G24&lt;=0,(C23*D23+E23)/C23,(F24*G24+C23*D23+E23)/(G24+C23)),IF(B23="卖出",IF(G24-C23&lt;=0,F24,(F24*G24-C23*D23+E23)/(G24-C23)),""))</f>
        <v/>
      </c>
      <c r="G23" s="8">
        <f>IF(B23="买入",G24+C23,IF(B23="卖出",MAX(0,G24-C23),""))</f>
        <v/>
      </c>
      <c r="H23">
        <f>IF(B23="",H24,IF(B23="买入",H24,IF(B23="卖出",IF(G23=0,0,H24+(D23-F23)*C23-E23),H24)))</f>
        <v/>
      </c>
    </row>
    <row r="24">
      <c r="A24" s="6" t="n"/>
      <c r="B24" s="7" t="n"/>
      <c r="C24" s="7" t="n"/>
      <c r="D24" s="7" t="n"/>
      <c r="E24" s="7" t="n"/>
      <c r="F24" s="8">
        <f>IF(B24="买入",IF(G25&lt;=0,(C24*D24+E24)/C24,(F25*G25+C24*D24+E24)/(G25+C24)),IF(B24="卖出",IF(G25-C24&lt;=0,F25,(F25*G25-C24*D24+E24)/(G25-C24)),""))</f>
        <v/>
      </c>
      <c r="G24" s="8">
        <f>IF(B24="买入",G25+C24,IF(B24="卖出",MAX(0,G25-C24),""))</f>
        <v/>
      </c>
      <c r="H24">
        <f>IF(B24="",H25,IF(B24="买入",H25,IF(B24="卖出",IF(G24=0,0,H25+(D24-F24)*C24-E24),H25)))</f>
        <v/>
      </c>
    </row>
    <row r="25">
      <c r="A25" s="6" t="n"/>
      <c r="B25" s="7" t="n"/>
      <c r="C25" s="7" t="n"/>
      <c r="D25" s="7" t="n"/>
      <c r="E25" s="7" t="n"/>
      <c r="F25" s="8">
        <f>IF(B25="买入",IF(G26&lt;=0,(C25*D25+E25)/C25,(F26*G26+C25*D25+E25)/(G26+C25)),IF(B25="卖出",IF(G26-C25&lt;=0,F26,(F26*G26-C25*D25+E25)/(G26-C25)),""))</f>
        <v/>
      </c>
      <c r="G25" s="8">
        <f>IF(B25="买入",G26+C25,IF(B25="卖出",MAX(0,G26-C25),""))</f>
        <v/>
      </c>
      <c r="H25">
        <f>IF(B25="",H26,IF(B25="买入",H26,IF(B25="卖出",IF(G25=0,0,H26+(D25-F25)*C25-E25),H26)))</f>
        <v/>
      </c>
    </row>
    <row r="26">
      <c r="A26" s="6" t="n"/>
      <c r="B26" s="7" t="n"/>
      <c r="C26" s="7" t="n"/>
      <c r="D26" s="7" t="n"/>
      <c r="E26" s="7" t="n"/>
      <c r="F26" s="8">
        <f>IF(B26="买入",IF(G27&lt;=0,(C26*D26+E26)/C26,(F27*G27+C26*D26+E26)/(G27+C26)),IF(B26="卖出",IF(G27-C26&lt;=0,F27,(F27*G27-C26*D26+E26)/(G27-C26)),""))</f>
        <v/>
      </c>
      <c r="G26" s="8">
        <f>IF(B26="买入",G27+C26,IF(B26="卖出",MAX(0,G27-C26),""))</f>
        <v/>
      </c>
      <c r="H26">
        <f>IF(B26="",H27,IF(B26="买入",H27,IF(B26="卖出",IF(G26=0,0,H27+(D26-F26)*C26-E26),H27)))</f>
        <v/>
      </c>
    </row>
    <row r="27">
      <c r="A27" s="6" t="n"/>
      <c r="B27" s="7" t="n"/>
      <c r="C27" s="7" t="n"/>
      <c r="D27" s="7" t="n"/>
      <c r="E27" s="7" t="n"/>
      <c r="F27" s="8">
        <f>IF(B27="买入",IF(G28&lt;=0,(C27*D27+E27)/C27,(F28*G28+C27*D27+E27)/(G28+C27)),IF(B27="卖出",IF(G28-C27&lt;=0,F28,(F28*G28-C27*D27+E27)/(G28-C27)),""))</f>
        <v/>
      </c>
      <c r="G27" s="8">
        <f>IF(B27="买入",G28+C27,IF(B27="卖出",MAX(0,G28-C27),""))</f>
        <v/>
      </c>
      <c r="H27">
        <f>IF(B27="",H28,IF(B27="买入",H28,IF(B27="卖出",IF(G27=0,0,H28+(D27-F27)*C27-E27),H28)))</f>
        <v/>
      </c>
    </row>
    <row r="28">
      <c r="A28" s="6" t="n"/>
      <c r="B28" s="7" t="n"/>
      <c r="C28" s="7" t="n"/>
      <c r="D28" s="7" t="n"/>
      <c r="E28" s="7" t="n"/>
      <c r="F28" s="8">
        <f>IF(B28="买入",IF(G29&lt;=0,(C28*D28+E28)/C28,(F29*G29+C28*D28+E28)/(G29+C28)),IF(B28="卖出",IF(G29-C28&lt;=0,F29,(F29*G29-C28*D28+E28)/(G29-C28)),""))</f>
        <v/>
      </c>
      <c r="G28" s="8">
        <f>IF(B28="买入",G29+C28,IF(B28="卖出",MAX(0,G29-C28),""))</f>
        <v/>
      </c>
      <c r="H28">
        <f>IF(B28="",H29,IF(B28="买入",H29,IF(B28="卖出",IF(G28=0,0,H29+(D28-F28)*C28-E28),H29)))</f>
        <v/>
      </c>
    </row>
    <row r="29">
      <c r="A29" s="6" t="n"/>
      <c r="B29" s="7" t="n"/>
      <c r="C29" s="7" t="n"/>
      <c r="D29" s="7" t="n"/>
      <c r="E29" s="7" t="n"/>
      <c r="F29" s="8">
        <f>IF(B29="买入",IF(G30&lt;=0,(C29*D29+E29)/C29,(F30*G30+C29*D29+E29)/(G30+C29)),IF(B29="卖出",IF(G30-C29&lt;=0,F30,(F30*G30-C29*D29+E29)/(G30-C29)),""))</f>
        <v/>
      </c>
      <c r="G29" s="8">
        <f>IF(B29="买入",G30+C29,IF(B29="卖出",MAX(0,G30-C29),""))</f>
        <v/>
      </c>
      <c r="H29">
        <f>IF(B29="",H30,IF(B29="买入",H30,IF(B29="卖出",IF(G29=0,0,H30+(D29-F29)*C29-E29),H30)))</f>
        <v/>
      </c>
    </row>
    <row r="30">
      <c r="A30" s="6" t="n"/>
      <c r="B30" s="7" t="n"/>
      <c r="C30" s="7" t="n"/>
      <c r="D30" s="7" t="n"/>
      <c r="E30" s="7" t="n"/>
      <c r="F30" s="8">
        <f>IF(B30="买入",IF(G31&lt;=0,(C30*D30+E30)/C30,(F31*G31+C30*D30+E30)/(G31+C30)),IF(B30="卖出",IF(G31-C30&lt;=0,F31,(F31*G31-C30*D30+E30)/(G31-C30)),""))</f>
        <v/>
      </c>
      <c r="G30" s="8">
        <f>IF(B30="买入",G31+C30,IF(B30="卖出",MAX(0,G31-C30),""))</f>
        <v/>
      </c>
      <c r="H30">
        <f>IF(B30="",H31,IF(B30="买入",H31,IF(B30="卖出",IF(G30=0,0,H31+(D30-F30)*C30-E30),H31)))</f>
        <v/>
      </c>
    </row>
    <row r="31">
      <c r="A31" s="6" t="n"/>
      <c r="B31" s="7" t="n"/>
      <c r="C31" s="7" t="n"/>
      <c r="D31" s="7" t="n"/>
      <c r="E31" s="7" t="n"/>
      <c r="F31" s="8">
        <f>IF(B31="买入",IF(G32&lt;=0,(C31*D31+E31)/C31,(F32*G32+C31*D31+E31)/(G32+C31)),IF(B31="卖出",IF(G32-C31&lt;=0,F32,(F32*G32-C31*D31+E31)/(G32-C31)),""))</f>
        <v/>
      </c>
      <c r="G31" s="8">
        <f>IF(B31="买入",G32+C31,IF(B31="卖出",MAX(0,G32-C31),""))</f>
        <v/>
      </c>
      <c r="H31">
        <f>IF(B31="",H32,IF(B31="买入",H32,IF(B31="卖出",IF(G31=0,0,H32+(D31-F31)*C31-E31),H32)))</f>
        <v/>
      </c>
    </row>
    <row r="32">
      <c r="A32" s="6" t="n"/>
      <c r="B32" s="7" t="n"/>
      <c r="C32" s="7" t="n"/>
      <c r="D32" s="7" t="n"/>
      <c r="E32" s="7" t="n"/>
      <c r="F32" s="8">
        <f>IF(B32="买入",IF(G33&lt;=0,(C32*D32+E32)/C32,(F33*G33+C32*D32+E32)/(G33+C32)),IF(B32="卖出",IF(G33-C32&lt;=0,F33,(F33*G33-C32*D32+E32)/(G33-C32)),""))</f>
        <v/>
      </c>
      <c r="G32" s="8">
        <f>IF(B32="买入",G33+C32,IF(B32="卖出",MAX(0,G33-C32),""))</f>
        <v/>
      </c>
      <c r="H32">
        <f>IF(B32="",H33,IF(B32="买入",H33,IF(B32="卖出",IF(G32=0,0,H33+(D32-F32)*C32-E32),H33)))</f>
        <v/>
      </c>
    </row>
    <row r="33">
      <c r="A33" s="6" t="n"/>
      <c r="B33" s="7" t="n"/>
      <c r="C33" s="7" t="n"/>
      <c r="D33" s="7" t="n"/>
      <c r="E33" s="7" t="n"/>
      <c r="F33" s="8">
        <f>IF(B33="买入",IF(G34&lt;=0,(C33*D33+E33)/C33,(F34*G34+C33*D33+E33)/(G34+C33)),IF(B33="卖出",IF(G34-C33&lt;=0,F34,(F34*G34-C33*D33+E33)/(G34-C33)),""))</f>
        <v/>
      </c>
      <c r="G33" s="8">
        <f>IF(B33="买入",G34+C33,IF(B33="卖出",MAX(0,G34-C33),""))</f>
        <v/>
      </c>
      <c r="H33">
        <f>IF(B33="",H34,IF(B33="买入",H34,IF(B33="卖出",IF(G33=0,0,H34+(D33-F33)*C33-E33),H34)))</f>
        <v/>
      </c>
    </row>
    <row r="34">
      <c r="A34" s="6" t="n"/>
      <c r="B34" s="7" t="n"/>
      <c r="C34" s="7" t="n"/>
      <c r="D34" s="7" t="n"/>
      <c r="E34" s="7" t="n"/>
      <c r="F34" s="8">
        <f>IF(B34="买入",IF(G35&lt;=0,(C34*D34+E34)/C34,(F35*G35+C34*D34+E34)/(G35+C34)),IF(B34="卖出",IF(G35-C34&lt;=0,F35,(F35*G35-C34*D34+E34)/(G35-C34)),""))</f>
        <v/>
      </c>
      <c r="G34" s="8">
        <f>IF(B34="买入",G35+C34,IF(B34="卖出",MAX(0,G35-C34),""))</f>
        <v/>
      </c>
      <c r="H34">
        <f>IF(B34="",H35,IF(B34="买入",H35,IF(B34="卖出",IF(G34=0,0,H35+(D34-F34)*C34-E34),H35)))</f>
        <v/>
      </c>
    </row>
    <row r="35">
      <c r="A35" s="6" t="n"/>
      <c r="B35" s="7" t="n"/>
      <c r="C35" s="7" t="n"/>
      <c r="D35" s="7" t="n"/>
      <c r="E35" s="7" t="n"/>
      <c r="F35" s="8">
        <f>IF(B35="买入",IF(G36&lt;=0,(C35*D35+E35)/C35,(F36*G36+C35*D35+E35)/(G36+C35)),IF(B35="卖出",IF(G36-C35&lt;=0,F36,(F36*G36-C35*D35+E35)/(G36-C35)),""))</f>
        <v/>
      </c>
      <c r="G35" s="8">
        <f>IF(B35="买入",G36+C35,IF(B35="卖出",MAX(0,G36-C35),""))</f>
        <v/>
      </c>
      <c r="H35">
        <f>IF(B35="",H36,IF(B35="买入",H36,IF(B35="卖出",IF(G35=0,0,H36+(D35-F35)*C35-E35),H36)))</f>
        <v/>
      </c>
    </row>
    <row r="36">
      <c r="A36" s="6" t="n"/>
      <c r="B36" s="7" t="n"/>
      <c r="C36" s="7" t="n"/>
      <c r="D36" s="7" t="n"/>
      <c r="E36" s="7" t="n"/>
      <c r="F36" s="8">
        <f>IF(B36="买入",IF(G37&lt;=0,(C36*D36+E36)/C36,(F37*G37+C36*D36+E36)/(G37+C36)),IF(B36="卖出",IF(G37-C36&lt;=0,F37,(F37*G37-C36*D36+E36)/(G37-C36)),""))</f>
        <v/>
      </c>
      <c r="G36" s="8">
        <f>IF(B36="买入",G37+C36,IF(B36="卖出",MAX(0,G37-C36),""))</f>
        <v/>
      </c>
      <c r="H36">
        <f>IF(B36="",H37,IF(B36="买入",H37,IF(B36="卖出",IF(G36=0,0,H37+(D36-F36)*C36-E36),H37)))</f>
        <v/>
      </c>
    </row>
    <row r="37">
      <c r="A37" s="6" t="n"/>
      <c r="B37" s="7" t="n"/>
      <c r="C37" s="7" t="n"/>
      <c r="D37" s="7" t="n"/>
      <c r="E37" s="7" t="n"/>
      <c r="F37" s="8">
        <f>IF(B37="买入",IF(G38&lt;=0,(C37*D37+E37)/C37,(F38*G38+C37*D37+E37)/(G38+C37)),IF(B37="卖出",IF(G38-C37&lt;=0,F38,(F38*G38-C37*D37+E37)/(G38-C37)),""))</f>
        <v/>
      </c>
      <c r="G37" s="8">
        <f>IF(B37="买入",G38+C37,IF(B37="卖出",MAX(0,G38-C37),""))</f>
        <v/>
      </c>
      <c r="H37">
        <f>IF(B37="",H38,IF(B37="买入",H38,IF(B37="卖出",IF(G37=0,0,H38+(D37-F37)*C37-E37),H38)))</f>
        <v/>
      </c>
    </row>
    <row r="38">
      <c r="A38" s="6" t="n"/>
      <c r="B38" s="7" t="n"/>
      <c r="C38" s="7" t="n"/>
      <c r="D38" s="7" t="n"/>
      <c r="E38" s="7" t="n"/>
      <c r="F38" s="8">
        <f>IF(B38="买入",IF(G39&lt;=0,(C38*D38+E38)/C38,(F39*G39+C38*D38+E38)/(G39+C38)),IF(B38="卖出",IF(G39-C38&lt;=0,F39,(F39*G39-C38*D38+E38)/(G39-C38)),""))</f>
        <v/>
      </c>
      <c r="G38" s="8">
        <f>IF(B38="买入",G39+C38,IF(B38="卖出",MAX(0,G39-C38),""))</f>
        <v/>
      </c>
      <c r="H38">
        <f>IF(B38="",H39,IF(B38="买入",H39,IF(B38="卖出",IF(G38=0,0,H39+(D38-F38)*C38-E38),H39)))</f>
        <v/>
      </c>
    </row>
    <row r="39">
      <c r="A39" s="6" t="n"/>
      <c r="B39" s="7" t="n"/>
      <c r="C39" s="7" t="n"/>
      <c r="D39" s="7" t="n"/>
      <c r="E39" s="7" t="n"/>
      <c r="F39" s="8">
        <f>IF(B39="买入",IF(G40&lt;=0,(C39*D39+E39)/C39,(F40*G40+C39*D39+E39)/(G40+C39)),IF(B39="卖出",IF(G40-C39&lt;=0,F40,(F40*G40-C39*D39+E39)/(G40-C39)),""))</f>
        <v/>
      </c>
      <c r="G39" s="8">
        <f>IF(B39="买入",G40+C39,IF(B39="卖出",MAX(0,G40-C39),""))</f>
        <v/>
      </c>
      <c r="H39">
        <f>IF(B39="",H40,IF(B39="买入",H40,IF(B39="卖出",IF(G39=0,0,H40+(D39-F39)*C39-E39),H40)))</f>
        <v/>
      </c>
    </row>
    <row r="40">
      <c r="A40" s="6" t="n"/>
      <c r="B40" s="7" t="n"/>
      <c r="C40" s="7" t="n"/>
      <c r="D40" s="7" t="n"/>
      <c r="E40" s="7" t="n"/>
      <c r="F40" s="8">
        <f>IF(B40="买入",IF(G41&lt;=0,(C40*D40+E40)/C40,(F41*G41+C40*D40+E40)/(G41+C40)),IF(B40="卖出",IF(G41-C40&lt;=0,F41,(F41*G41-C40*D40+E40)/(G41-C40)),""))</f>
        <v/>
      </c>
      <c r="G40" s="8">
        <f>IF(B40="买入",G41+C40,IF(B40="卖出",MAX(0,G41-C40),""))</f>
        <v/>
      </c>
      <c r="H40">
        <f>IF(B40="",H41,IF(B40="买入",H41,IF(B40="卖出",IF(G40=0,0,H41+(D40-F40)*C40-E40),H41)))</f>
        <v/>
      </c>
    </row>
    <row r="41">
      <c r="A41" s="6" t="n"/>
      <c r="B41" s="7" t="n"/>
      <c r="C41" s="7" t="n"/>
      <c r="D41" s="7" t="n"/>
      <c r="E41" s="7" t="n"/>
      <c r="F41" s="8">
        <f>IF(B41="买入",IF(G42&lt;=0,(C41*D41+E41)/C41,(F42*G42+C41*D41+E41)/(G42+C41)),IF(B41="卖出",IF(G42-C41&lt;=0,F42,(F42*G42-C41*D41+E41)/(G42-C41)),""))</f>
        <v/>
      </c>
      <c r="G41" s="8">
        <f>IF(B41="买入",G42+C41,IF(B41="卖出",MAX(0,G42-C41),""))</f>
        <v/>
      </c>
      <c r="H41">
        <f>IF(B41="",H42,IF(B41="买入",H42,IF(B41="卖出",IF(G41=0,0,H42+(D41-F41)*C41-E41),H42)))</f>
        <v/>
      </c>
    </row>
    <row r="42">
      <c r="A42" s="6" t="n"/>
      <c r="B42" s="7" t="n"/>
      <c r="C42" s="7" t="n"/>
      <c r="D42" s="7" t="n"/>
      <c r="E42" s="7" t="n"/>
      <c r="F42" s="8">
        <f>IF(B42="买入",IF(G43&lt;=0,(C42*D42+E42)/C42,(F43*G43+C42*D42+E42)/(G43+C42)),IF(B42="卖出",IF(G43-C42&lt;=0,F43,(F43*G43-C42*D42+E42)/(G43-C42)),""))</f>
        <v/>
      </c>
      <c r="G42" s="8">
        <f>IF(B42="买入",G43+C42,IF(B42="卖出",MAX(0,G43-C42),""))</f>
        <v/>
      </c>
      <c r="H42">
        <f>IF(B42="",H43,IF(B42="买入",H43,IF(B42="卖出",IF(G42=0,0,H43+(D42-F42)*C42-E42),H43)))</f>
        <v/>
      </c>
    </row>
    <row r="43">
      <c r="A43" s="6" t="n"/>
      <c r="B43" s="7" t="n"/>
      <c r="C43" s="7" t="n"/>
      <c r="D43" s="7" t="n"/>
      <c r="E43" s="7" t="n"/>
      <c r="F43" s="8">
        <f>IF(B43="买入",IF(G44&lt;=0,(C43*D43+E43)/C43,(F44*G44+C43*D43+E43)/(G44+C43)),IF(B43="卖出",IF(G44-C43&lt;=0,F44,(F44*G44-C43*D43+E43)/(G44-C43)),""))</f>
        <v/>
      </c>
      <c r="G43" s="8">
        <f>IF(B43="买入",G44+C43,IF(B43="卖出",MAX(0,G44-C43),""))</f>
        <v/>
      </c>
      <c r="H43">
        <f>IF(B43="",H44,IF(B43="买入",H44,IF(B43="卖出",IF(G43=0,0,H44+(D43-F43)*C43-E43),H44)))</f>
        <v/>
      </c>
    </row>
    <row r="44">
      <c r="A44" s="6" t="n"/>
      <c r="B44" s="7" t="n"/>
      <c r="C44" s="7" t="n"/>
      <c r="D44" s="7" t="n"/>
      <c r="E44" s="7" t="n"/>
      <c r="F44" s="8">
        <f>IF(B44="买入",IF(G45&lt;=0,(C44*D44+E44)/C44,(F45*G45+C44*D44+E44)/(G45+C44)),IF(B44="卖出",IF(G45-C44&lt;=0,F45,(F45*G45-C44*D44+E44)/(G45-C44)),""))</f>
        <v/>
      </c>
      <c r="G44" s="8">
        <f>IF(B44="买入",G45+C44,IF(B44="卖出",MAX(0,G45-C44),""))</f>
        <v/>
      </c>
      <c r="H44">
        <f>IF(B44="",H45,IF(B44="买入",H45,IF(B44="卖出",IF(G44=0,0,H45+(D44-F44)*C44-E44),H45)))</f>
        <v/>
      </c>
    </row>
    <row r="45">
      <c r="A45" s="6" t="n"/>
      <c r="B45" s="7" t="n"/>
      <c r="C45" s="7" t="n"/>
      <c r="D45" s="7" t="n"/>
      <c r="E45" s="7" t="n"/>
      <c r="F45" s="8">
        <f>IF(B45="买入",IF(G46&lt;=0,(C45*D45+E45)/C45,(F46*G46+C45*D45+E45)/(G46+C45)),IF(B45="卖出",IF(G46-C45&lt;=0,F46,(F46*G46-C45*D45+E45)/(G46-C45)),""))</f>
        <v/>
      </c>
      <c r="G45" s="8">
        <f>IF(B45="买入",G46+C45,IF(B45="卖出",MAX(0,G46-C45),""))</f>
        <v/>
      </c>
      <c r="H45">
        <f>IF(B45="",H46,IF(B45="买入",H46,IF(B45="卖出",IF(G45=0,0,H46+(D45-F45)*C45-E45),H46)))</f>
        <v/>
      </c>
    </row>
    <row r="46">
      <c r="A46" s="6" t="n"/>
      <c r="B46" s="7" t="n"/>
      <c r="C46" s="7" t="n"/>
      <c r="D46" s="7" t="n"/>
      <c r="E46" s="7" t="n"/>
      <c r="F46" s="8">
        <f>IF(B46="买入",IF(G47&lt;=0,(C46*D46+E46)/C46,(F47*G47+C46*D46+E46)/(G47+C46)),IF(B46="卖出",IF(G47-C46&lt;=0,F47,(F47*G47-C46*D46+E46)/(G47-C46)),""))</f>
        <v/>
      </c>
      <c r="G46" s="8">
        <f>IF(B46="买入",G47+C46,IF(B46="卖出",MAX(0,G47-C46),""))</f>
        <v/>
      </c>
      <c r="H46">
        <f>IF(B46="",H47,IF(B46="买入",H47,IF(B46="卖出",IF(G46=0,0,H47+(D46-F46)*C46-E46),H47)))</f>
        <v/>
      </c>
    </row>
    <row r="47">
      <c r="A47" s="6" t="n"/>
      <c r="B47" s="7" t="n"/>
      <c r="C47" s="7" t="n"/>
      <c r="D47" s="7" t="n"/>
      <c r="E47" s="7" t="n"/>
      <c r="F47" s="8">
        <f>IF(B47="买入",IF(G48&lt;=0,(C47*D47+E47)/C47,(F48*G48+C47*D47+E47)/(G48+C47)),IF(B47="卖出",IF(G48-C47&lt;=0,F48,(F48*G48-C47*D47+E47)/(G48-C47)),""))</f>
        <v/>
      </c>
      <c r="G47" s="8">
        <f>IF(B47="买入",G48+C47,IF(B47="卖出",MAX(0,G48-C47),""))</f>
        <v/>
      </c>
      <c r="H47">
        <f>IF(B47="",H48,IF(B47="买入",H48,IF(B47="卖出",IF(G47=0,0,H48+(D47-F47)*C47-E47),H48)))</f>
        <v/>
      </c>
    </row>
    <row r="48">
      <c r="A48" s="6" t="n"/>
      <c r="B48" s="7" t="n"/>
      <c r="C48" s="7" t="n"/>
      <c r="D48" s="7" t="n"/>
      <c r="E48" s="7" t="n"/>
      <c r="F48" s="8">
        <f>IF(B48="买入",IF(G49&lt;=0,(C48*D48+E48)/C48,(F49*G49+C48*D48+E48)/(G49+C48)),IF(B48="卖出",IF(G49-C48&lt;=0,F49,(F49*G49-C48*D48+E48)/(G49-C48)),""))</f>
        <v/>
      </c>
      <c r="G48" s="8">
        <f>IF(B48="买入",G49+C48,IF(B48="卖出",MAX(0,G49-C48),""))</f>
        <v/>
      </c>
      <c r="H48">
        <f>IF(B48="",H49,IF(B48="买入",H49,IF(B48="卖出",IF(G48=0,0,H49+(D48-F48)*C48-E48),H49)))</f>
        <v/>
      </c>
    </row>
    <row r="49">
      <c r="A49" s="6" t="n"/>
      <c r="B49" s="7" t="n"/>
      <c r="C49" s="7" t="n"/>
      <c r="D49" s="7" t="n"/>
      <c r="E49" s="7" t="n"/>
      <c r="F49" s="8">
        <f>IF(B49="买入",IF(G50&lt;=0,(C49*D49+E49)/C49,(F50*G50+C49*D49+E49)/(G50+C49)),IF(B49="卖出",IF(G50-C49&lt;=0,F50,(F50*G50-C49*D49+E49)/(G50-C49)),""))</f>
        <v/>
      </c>
      <c r="G49" s="8">
        <f>IF(B49="买入",G50+C49,IF(B49="卖出",MAX(0,G50-C49),""))</f>
        <v/>
      </c>
      <c r="H49">
        <f>IF(B49="",H50,IF(B49="买入",H50,IF(B49="卖出",IF(G49=0,0,H50+(D49-F49)*C49-E49),H50)))</f>
        <v/>
      </c>
    </row>
    <row r="50">
      <c r="A50" s="6" t="n"/>
      <c r="B50" s="7" t="n"/>
      <c r="C50" s="7" t="n"/>
      <c r="D50" s="7" t="n"/>
      <c r="E50" s="7" t="n"/>
      <c r="F50" s="8">
        <f>IF(B50="买入",IF(G51&lt;=0,(C50*D50+E50)/C50,(F51*G51+C50*D50+E50)/(G51+C50)),IF(B50="卖出",IF(G51-C50&lt;=0,F51,(F51*G51-C50*D50+E50)/(G51-C50)),""))</f>
        <v/>
      </c>
      <c r="G50" s="8">
        <f>IF(B50="买入",G51+C50,IF(B50="卖出",MAX(0,G51-C50),""))</f>
        <v/>
      </c>
      <c r="H50">
        <f>IF(B50="",H51,IF(B50="买入",H51,IF(B50="卖出",IF(G50=0,0,H51+(D50-F50)*C50-E50),H51)))</f>
        <v/>
      </c>
    </row>
    <row r="51">
      <c r="A51" s="6" t="n"/>
      <c r="B51" s="7" t="n"/>
      <c r="C51" s="7" t="n"/>
      <c r="D51" s="7" t="n"/>
      <c r="E51" s="7" t="n"/>
      <c r="F51" s="8">
        <f>IF(B51="买入",IF(G52&lt;=0,(C51*D51+E51)/C51,(F52*G52+C51*D51+E51)/(G52+C51)),IF(B51="卖出",IF(G52-C51&lt;=0,F52,(F52*G52-C51*D51+E51)/(G52-C51)),""))</f>
        <v/>
      </c>
      <c r="G51" s="8">
        <f>IF(B51="买入",G52+C51,IF(B51="卖出",MAX(0,G52-C51),""))</f>
        <v/>
      </c>
      <c r="H51">
        <f>IF(B51="",H52,IF(B51="买入",H52,IF(B51="卖出",IF(G51=0,0,H52+(D51-F51)*C51-E51),H52)))</f>
        <v/>
      </c>
    </row>
    <row r="52">
      <c r="A52" s="6" t="n"/>
      <c r="B52" s="7" t="n"/>
      <c r="C52" s="7" t="n"/>
      <c r="D52" s="7" t="n"/>
      <c r="E52" s="7" t="n"/>
      <c r="F52" s="8">
        <f>IF(B52="买入",IF(G53&lt;=0,(C52*D52+E52)/C52,(F53*G53+C52*D52+E52)/(G53+C52)),IF(B52="卖出",IF(G53-C52&lt;=0,F53,(F53*G53-C52*D52+E52)/(G53-C52)),""))</f>
        <v/>
      </c>
      <c r="G52" s="8">
        <f>IF(B52="买入",G53+C52,IF(B52="卖出",MAX(0,G53-C52),""))</f>
        <v/>
      </c>
      <c r="H52">
        <f>IF(B52="",H53,IF(B52="买入",H53,IF(B52="卖出",IF(G52=0,0,H53+(D52-F52)*C52-E52),H53)))</f>
        <v/>
      </c>
    </row>
    <row r="53">
      <c r="A53" s="6" t="n"/>
      <c r="B53" s="7" t="n"/>
      <c r="C53" s="7" t="n"/>
      <c r="D53" s="7" t="n"/>
      <c r="E53" s="7" t="n"/>
      <c r="F53" s="8">
        <f>IF(B53="买入",IF(G54&lt;=0,(C53*D53+E53)/C53,(F54*G54+C53*D53+E53)/(G54+C53)),IF(B53="卖出",IF(G54-C53&lt;=0,F54,(F54*G54-C53*D53+E53)/(G54-C53)),""))</f>
        <v/>
      </c>
      <c r="G53" s="8">
        <f>IF(B53="买入",G54+C53,IF(B53="卖出",MAX(0,G54-C53),""))</f>
        <v/>
      </c>
      <c r="H53">
        <f>IF(B53="",H54,IF(B53="买入",H54,IF(B53="卖出",IF(G53=0,0,H54+(D53-F53)*C53-E53),H54)))</f>
        <v/>
      </c>
    </row>
    <row r="54">
      <c r="A54" s="6" t="n"/>
      <c r="B54" s="7" t="n"/>
      <c r="C54" s="7" t="n"/>
      <c r="D54" s="7" t="n"/>
      <c r="E54" s="7" t="n"/>
      <c r="F54" s="8">
        <f>IF(B54="买入",IF(G55&lt;=0,(C54*D54+E54)/C54,(F55*G55+C54*D54+E54)/(G55+C54)),IF(B54="卖出",IF(G55-C54&lt;=0,F55,(F55*G55-C54*D54+E54)/(G55-C54)),""))</f>
        <v/>
      </c>
      <c r="G54" s="8">
        <f>IF(B54="买入",G55+C54,IF(B54="卖出",MAX(0,G55-C54),""))</f>
        <v/>
      </c>
      <c r="H54">
        <f>IF(B54="",H55,IF(B54="买入",H55,IF(B54="卖出",IF(G54=0,0,H55+(D54-F54)*C54-E54),H55)))</f>
        <v/>
      </c>
    </row>
    <row r="55">
      <c r="A55" s="6" t="n"/>
      <c r="B55" s="7" t="n"/>
      <c r="C55" s="7" t="n"/>
      <c r="D55" s="7" t="n"/>
      <c r="E55" s="7" t="n"/>
      <c r="F55" s="8">
        <f>IF(B55="买入",IF(G56&lt;=0,(C55*D55+E55)/C55,(F56*G56+C55*D55+E55)/(G56+C55)),IF(B55="卖出",IF(G56-C55&lt;=0,F56,(F56*G56-C55*D55+E55)/(G56-C55)),""))</f>
        <v/>
      </c>
      <c r="G55" s="8">
        <f>IF(B55="买入",G56+C55,IF(B55="卖出",MAX(0,G56-C55),""))</f>
        <v/>
      </c>
      <c r="H55">
        <f>IF(B55="",H56,IF(B55="买入",H56,IF(B55="卖出",IF(G55=0,0,H56+(D55-F55)*C55-E55),H56)))</f>
        <v/>
      </c>
    </row>
    <row r="56">
      <c r="A56" s="6" t="n"/>
      <c r="B56" s="7" t="n"/>
      <c r="C56" s="7" t="n"/>
      <c r="D56" s="7" t="n"/>
      <c r="E56" s="7" t="n"/>
      <c r="F56" s="8">
        <f>IF(B56="买入",IF(G57&lt;=0,(C56*D56+E56)/C56,(F57*G57+C56*D56+E56)/(G57+C56)),IF(B56="卖出",IF(G57-C56&lt;=0,F57,(F57*G57-C56*D56+E56)/(G57-C56)),""))</f>
        <v/>
      </c>
      <c r="G56" s="8">
        <f>IF(B56="买入",G57+C56,IF(B56="卖出",MAX(0,G57-C56),""))</f>
        <v/>
      </c>
      <c r="H56">
        <f>IF(B56="",H57,IF(B56="买入",H57,IF(B56="卖出",IF(G56=0,0,H57+(D56-F56)*C56-E56),H57)))</f>
        <v/>
      </c>
    </row>
    <row r="57">
      <c r="A57" s="6" t="n"/>
      <c r="B57" s="7" t="n"/>
      <c r="C57" s="7" t="n"/>
      <c r="D57" s="7" t="n"/>
      <c r="E57" s="7" t="n"/>
      <c r="F57" s="8">
        <f>IF(B57="买入",IF(G58&lt;=0,(C57*D57+E57)/C57,(F58*G58+C57*D57+E57)/(G58+C57)),IF(B57="卖出",IF(G58-C57&lt;=0,F58,(F58*G58-C57*D57+E57)/(G58-C57)),""))</f>
        <v/>
      </c>
      <c r="G57" s="8">
        <f>IF(B57="买入",G58+C57,IF(B57="卖出",MAX(0,G58-C57),""))</f>
        <v/>
      </c>
      <c r="H57">
        <f>IF(B57="",H58,IF(B57="买入",H58,IF(B57="卖出",IF(G57=0,0,H58+(D57-F57)*C57-E57),H58)))</f>
        <v/>
      </c>
    </row>
    <row r="58">
      <c r="A58" s="6" t="n"/>
      <c r="B58" s="7" t="n"/>
      <c r="C58" s="7" t="n"/>
      <c r="D58" s="7" t="n"/>
      <c r="E58" s="7" t="n"/>
      <c r="F58" s="8">
        <f>IF(B58="买入",IF(G59&lt;=0,(C58*D58+E58)/C58,(F59*G59+C58*D58+E58)/(G59+C58)),IF(B58="卖出",IF(G59-C58&lt;=0,F59,(F59*G59-C58*D58+E58)/(G59-C58)),""))</f>
        <v/>
      </c>
      <c r="G58" s="8">
        <f>IF(B58="买入",G59+C58,IF(B58="卖出",MAX(0,G59-C58),""))</f>
        <v/>
      </c>
      <c r="H58">
        <f>IF(B58="",H59,IF(B58="买入",H59,IF(B58="卖出",IF(G58=0,0,H59+(D58-F58)*C58-E58),H59)))</f>
        <v/>
      </c>
    </row>
    <row r="59">
      <c r="A59" s="6" t="n"/>
      <c r="B59" s="7" t="n"/>
      <c r="C59" s="7" t="n"/>
      <c r="D59" s="7" t="n"/>
      <c r="E59" s="7" t="n"/>
      <c r="F59" s="8">
        <f>IF(B59="买入",IF(G60&lt;=0,(C59*D59+E59)/C59,(F60*G60+C59*D59+E59)/(G60+C59)),IF(B59="卖出",IF(G60-C59&lt;=0,F60,(F60*G60-C59*D59+E59)/(G60-C59)),""))</f>
        <v/>
      </c>
      <c r="G59" s="8">
        <f>IF(B59="买入",G60+C59,IF(B59="卖出",MAX(0,G60-C59),""))</f>
        <v/>
      </c>
      <c r="H59">
        <f>IF(B59="",H60,IF(B59="买入",H60,IF(B59="卖出",IF(G59=0,0,H60+(D59-F59)*C59-E59),H60)))</f>
        <v/>
      </c>
    </row>
    <row r="60">
      <c r="A60" s="6" t="n"/>
      <c r="B60" s="7" t="n"/>
      <c r="C60" s="7" t="n"/>
      <c r="D60" s="7" t="n"/>
      <c r="E60" s="7" t="n"/>
      <c r="F60" s="8">
        <f>IF(B60="买入",IF(G61&lt;=0,(C60*D60+E60)/C60,(F61*G61+C60*D60+E60)/(G61+C60)),IF(B60="卖出",IF(G61-C60&lt;=0,F61,(F61*G61-C60*D60+E60)/(G61-C60)),""))</f>
        <v/>
      </c>
      <c r="G60" s="8">
        <f>IF(B60="买入",G61+C60,IF(B60="卖出",MAX(0,G61-C60),""))</f>
        <v/>
      </c>
      <c r="H60">
        <f>IF(B60="",H61,IF(B60="买入",H61,IF(B60="卖出",IF(G60=0,0,H61+(D60-F60)*C60-E60),H61)))</f>
        <v/>
      </c>
    </row>
    <row r="61">
      <c r="A61" s="6" t="n"/>
      <c r="B61" s="7" t="n"/>
      <c r="C61" s="7" t="n"/>
      <c r="D61" s="7" t="n"/>
      <c r="E61" s="7" t="n"/>
      <c r="F61" s="8">
        <f>IF(B61="买入",IF(G62&lt;=0,(C61*D61+E61)/C61,(F62*G62+C61*D61+E61)/(G62+C61)),IF(B61="卖出",IF(G62-C61&lt;=0,F62,(F62*G62-C61*D61+E61)/(G62-C61)),""))</f>
        <v/>
      </c>
      <c r="G61" s="8">
        <f>IF(B61="买入",G62+C61,IF(B61="卖出",MAX(0,G62-C61),""))</f>
        <v/>
      </c>
      <c r="H61">
        <f>IF(B61="",H62,IF(B61="买入",H62,IF(B61="卖出",IF(G61=0,0,H62+(D61-F61)*C61-E61),H62)))</f>
        <v/>
      </c>
    </row>
    <row r="62">
      <c r="A62" s="6" t="n"/>
      <c r="B62" s="7" t="n"/>
      <c r="C62" s="7" t="n"/>
      <c r="D62" s="7" t="n"/>
      <c r="E62" s="7" t="n"/>
      <c r="F62" s="8">
        <f>IF(B62="买入",IF(G63&lt;=0,(C62*D62+E62)/C62,(F63*G63+C62*D62+E62)/(G63+C62)),IF(B62="卖出",IF(G63-C62&lt;=0,F63,(F63*G63-C62*D62+E62)/(G63-C62)),""))</f>
        <v/>
      </c>
      <c r="G62" s="8">
        <f>IF(B62="买入",G63+C62,IF(B62="卖出",MAX(0,G63-C62),""))</f>
        <v/>
      </c>
      <c r="H62">
        <f>IF(B62="",H63,IF(B62="买入",H63,IF(B62="卖出",IF(G62=0,0,H63+(D62-F62)*C62-E62),H63)))</f>
        <v/>
      </c>
    </row>
    <row r="63">
      <c r="A63" s="6" t="n"/>
      <c r="B63" s="7" t="n"/>
      <c r="C63" s="7" t="n"/>
      <c r="D63" s="7" t="n"/>
      <c r="E63" s="7" t="n"/>
      <c r="F63" s="8">
        <f>IF(B63="买入",IF(G64&lt;=0,(C63*D63+E63)/C63,(F64*G64+C63*D63+E63)/(G64+C63)),IF(B63="卖出",IF(G64-C63&lt;=0,F64,(F64*G64-C63*D63+E63)/(G64-C63)),""))</f>
        <v/>
      </c>
      <c r="G63" s="8">
        <f>IF(B63="买入",G64+C63,IF(B63="卖出",MAX(0,G64-C63),""))</f>
        <v/>
      </c>
      <c r="H63">
        <f>IF(B63="",H64,IF(B63="买入",H64,IF(B63="卖出",IF(G63=0,0,H64+(D63-F63)*C63-E63),H64)))</f>
        <v/>
      </c>
    </row>
    <row r="64">
      <c r="A64" s="6" t="n"/>
      <c r="B64" s="7" t="n"/>
      <c r="C64" s="7" t="n"/>
      <c r="D64" s="7" t="n"/>
      <c r="E64" s="7" t="n"/>
      <c r="F64" s="8">
        <f>IF(B64="买入",IF(G65&lt;=0,(C64*D64+E64)/C64,(F65*G65+C64*D64+E64)/(G65+C64)),IF(B64="卖出",IF(G65-C64&lt;=0,F65,(F65*G65-C64*D64+E64)/(G65-C64)),""))</f>
        <v/>
      </c>
      <c r="G64" s="8">
        <f>IF(B64="买入",G65+C64,IF(B64="卖出",MAX(0,G65-C64),""))</f>
        <v/>
      </c>
      <c r="H64">
        <f>IF(B64="",H65,IF(B64="买入",H65,IF(B64="卖出",IF(G64=0,0,H65+(D64-F64)*C64-E64),H65)))</f>
        <v/>
      </c>
    </row>
    <row r="65">
      <c r="A65" s="6" t="n"/>
      <c r="B65" s="7" t="n"/>
      <c r="C65" s="7" t="n"/>
      <c r="D65" s="7" t="n"/>
      <c r="E65" s="7" t="n"/>
      <c r="F65" s="8">
        <f>IF(B65="买入",IF(G66&lt;=0,(C65*D65+E65)/C65,(F66*G66+C65*D65+E65)/(G66+C65)),IF(B65="卖出",IF(G66-C65&lt;=0,F66,(F66*G66-C65*D65+E65)/(G66-C65)),""))</f>
        <v/>
      </c>
      <c r="G65" s="8">
        <f>IF(B65="买入",G66+C65,IF(B65="卖出",MAX(0,G66-C65),""))</f>
        <v/>
      </c>
      <c r="H65">
        <f>IF(B65="",H66,IF(B65="买入",H66,IF(B65="卖出",IF(G65=0,0,H66+(D65-F65)*C65-E65),H66)))</f>
        <v/>
      </c>
    </row>
    <row r="66">
      <c r="A66" s="6" t="n"/>
      <c r="B66" s="7" t="n"/>
      <c r="C66" s="7" t="n"/>
      <c r="D66" s="7" t="n"/>
      <c r="E66" s="7" t="n"/>
      <c r="F66" s="8">
        <f>IF(B66="买入",IF(G67&lt;=0,(C66*D66+E66)/C66,(F67*G67+C66*D66+E66)/(G67+C66)),IF(B66="卖出",IF(G67-C66&lt;=0,F67,(F67*G67-C66*D66+E66)/(G67-C66)),""))</f>
        <v/>
      </c>
      <c r="G66" s="8">
        <f>IF(B66="买入",G67+C66,IF(B66="卖出",MAX(0,G67-C66),""))</f>
        <v/>
      </c>
      <c r="H66">
        <f>IF(B66="",H67,IF(B66="买入",H67,IF(B66="卖出",IF(G66=0,0,H67+(D66-F66)*C66-E66),H67)))</f>
        <v/>
      </c>
    </row>
    <row r="67">
      <c r="A67" s="6" t="n"/>
      <c r="B67" s="7" t="n"/>
      <c r="C67" s="7" t="n"/>
      <c r="D67" s="7" t="n"/>
      <c r="E67" s="7" t="n"/>
      <c r="F67" s="8">
        <f>IF(B67="买入",IF(G68&lt;=0,(C67*D67+E67)/C67,(F68*G68+C67*D67+E67)/(G68+C67)),IF(B67="卖出",IF(G68-C67&lt;=0,F68,(F68*G68-C67*D67+E67)/(G68-C67)),""))</f>
        <v/>
      </c>
      <c r="G67" s="8">
        <f>IF(B67="买入",G68+C67,IF(B67="卖出",MAX(0,G68-C67),""))</f>
        <v/>
      </c>
      <c r="H67">
        <f>IF(B67="",H68,IF(B67="买入",H68,IF(B67="卖出",IF(G67=0,0,H68+(D67-F67)*C67-E67),H68)))</f>
        <v/>
      </c>
    </row>
    <row r="68">
      <c r="A68" s="6" t="n"/>
      <c r="B68" s="7" t="n"/>
      <c r="C68" s="7" t="n"/>
      <c r="D68" s="7" t="n"/>
      <c r="E68" s="7" t="n"/>
      <c r="F68" s="8">
        <f>IF(B68="买入",IF(G69&lt;=0,(C68*D68+E68)/C68,(F69*G69+C68*D68+E68)/(G69+C68)),IF(B68="卖出",IF(G69-C68&lt;=0,F69,(F69*G69-C68*D68+E68)/(G69-C68)),""))</f>
        <v/>
      </c>
      <c r="G68" s="8">
        <f>IF(B68="买入",G69+C68,IF(B68="卖出",MAX(0,G69-C68),""))</f>
        <v/>
      </c>
      <c r="H68">
        <f>IF(B68="",H69,IF(B68="买入",H69,IF(B68="卖出",IF(G68=0,0,H69+(D68-F68)*C68-E68),H69)))</f>
        <v/>
      </c>
    </row>
    <row r="69">
      <c r="A69" s="6" t="n"/>
      <c r="B69" s="7" t="n"/>
      <c r="C69" s="7" t="n"/>
      <c r="D69" s="7" t="n"/>
      <c r="E69" s="7" t="n"/>
      <c r="F69" s="8">
        <f>IF(B69="买入",IF(G70&lt;=0,(C69*D69+E69)/C69,(F70*G70+C69*D69+E69)/(G70+C69)),IF(B69="卖出",IF(G70-C69&lt;=0,F70,(F70*G70-C69*D69+E69)/(G70-C69)),""))</f>
        <v/>
      </c>
      <c r="G69" s="8">
        <f>IF(B69="买入",G70+C69,IF(B69="卖出",MAX(0,G70-C69),""))</f>
        <v/>
      </c>
      <c r="H69">
        <f>IF(B69="",H70,IF(B69="买入",H70,IF(B69="卖出",IF(G69=0,0,H70+(D69-F69)*C69-E69),H70)))</f>
        <v/>
      </c>
    </row>
    <row r="70">
      <c r="A70" s="6" t="n"/>
      <c r="B70" s="7" t="n"/>
      <c r="C70" s="7" t="n"/>
      <c r="D70" s="7" t="n"/>
      <c r="E70" s="7" t="n"/>
      <c r="F70" s="8">
        <f>IF(B70="买入",IF(G71&lt;=0,(C70*D70+E70)/C70,(F71*G71+C70*D70+E70)/(G71+C70)),IF(B70="卖出",IF(G71-C70&lt;=0,F71,(F71*G71-C70*D70+E70)/(G71-C70)),""))</f>
        <v/>
      </c>
      <c r="G70" s="8">
        <f>IF(B70="买入",G71+C70,IF(B70="卖出",MAX(0,G71-C70),""))</f>
        <v/>
      </c>
      <c r="H70">
        <f>IF(B70="",H71,IF(B70="买入",H71,IF(B70="卖出",IF(G70=0,0,H71+(D70-F70)*C70-E70),H71)))</f>
        <v/>
      </c>
    </row>
    <row r="71">
      <c r="A71" s="6" t="n"/>
      <c r="B71" s="7" t="n"/>
      <c r="C71" s="7" t="n"/>
      <c r="D71" s="7" t="n"/>
      <c r="E71" s="7" t="n"/>
      <c r="F71" s="8">
        <f>IF(B71="买入",IF(G72&lt;=0,(C71*D71+E71)/C71,(F72*G72+C71*D71+E71)/(G72+C71)),IF(B71="卖出",IF(G72-C71&lt;=0,F72,(F72*G72-C71*D71+E71)/(G72-C71)),""))</f>
        <v/>
      </c>
      <c r="G71" s="8">
        <f>IF(B71="买入",G72+C71,IF(B71="卖出",MAX(0,G72-C71),""))</f>
        <v/>
      </c>
      <c r="H71">
        <f>IF(B71="",H72,IF(B71="买入",H72,IF(B71="卖出",IF(G71=0,0,H72+(D71-F71)*C71-E71),H72)))</f>
        <v/>
      </c>
    </row>
    <row r="72">
      <c r="A72" s="6" t="n"/>
      <c r="B72" s="7" t="n"/>
      <c r="C72" s="7" t="n"/>
      <c r="D72" s="7" t="n"/>
      <c r="E72" s="7" t="n"/>
      <c r="F72" s="8">
        <f>IF(B72="买入",IF(G73&lt;=0,(C72*D72+E72)/C72,(F73*G73+C72*D72+E72)/(G73+C72)),IF(B72="卖出",IF(G73-C72&lt;=0,F73,(F73*G73-C72*D72+E72)/(G73-C72)),""))</f>
        <v/>
      </c>
      <c r="G72" s="8">
        <f>IF(B72="买入",G73+C72,IF(B72="卖出",MAX(0,G73-C72),""))</f>
        <v/>
      </c>
      <c r="H72">
        <f>IF(B72="",H73,IF(B72="买入",H73,IF(B72="卖出",IF(G72=0,0,H73+(D72-F72)*C72-E72),H73)))</f>
        <v/>
      </c>
    </row>
    <row r="73">
      <c r="A73" s="6" t="n"/>
      <c r="B73" s="7" t="n"/>
      <c r="C73" s="7" t="n"/>
      <c r="D73" s="7" t="n"/>
      <c r="E73" s="7" t="n"/>
      <c r="F73" s="8">
        <f>IF(B73="买入",IF(G74&lt;=0,(C73*D73+E73)/C73,(F74*G74+C73*D73+E73)/(G74+C73)),IF(B73="卖出",IF(G74-C73&lt;=0,F74,(F74*G74-C73*D73+E73)/(G74-C73)),""))</f>
        <v/>
      </c>
      <c r="G73" s="8">
        <f>IF(B73="买入",G74+C73,IF(B73="卖出",MAX(0,G74-C73),""))</f>
        <v/>
      </c>
      <c r="H73">
        <f>IF(B73="",H74,IF(B73="买入",H74,IF(B73="卖出",IF(G73=0,0,H74+(D73-F73)*C73-E73),H74)))</f>
        <v/>
      </c>
    </row>
    <row r="74">
      <c r="A74" s="6" t="n"/>
      <c r="B74" s="7" t="n"/>
      <c r="C74" s="7" t="n"/>
      <c r="D74" s="7" t="n"/>
      <c r="E74" s="7" t="n"/>
      <c r="F74" s="8">
        <f>IF(B74="买入",IF(G75&lt;=0,(C74*D74+E74)/C74,(F75*G75+C74*D74+E74)/(G75+C74)),IF(B74="卖出",IF(G75-C74&lt;=0,F75,(F75*G75-C74*D74+E74)/(G75-C74)),""))</f>
        <v/>
      </c>
      <c r="G74" s="8">
        <f>IF(B74="买入",G75+C74,IF(B74="卖出",MAX(0,G75-C74),""))</f>
        <v/>
      </c>
      <c r="H74">
        <f>IF(B74="",H75,IF(B74="买入",H75,IF(B74="卖出",IF(G74=0,0,H75+(D74-F74)*C74-E74),H75)))</f>
        <v/>
      </c>
    </row>
    <row r="75">
      <c r="A75" s="6" t="n"/>
      <c r="B75" s="7" t="n"/>
      <c r="C75" s="7" t="n"/>
      <c r="D75" s="7" t="n"/>
      <c r="E75" s="7" t="n"/>
      <c r="F75" s="8">
        <f>IF(B75="买入",IF(G76&lt;=0,(C75*D75+E75)/C75,(F76*G76+C75*D75+E75)/(G76+C75)),IF(B75="卖出",IF(G76-C75&lt;=0,F76,(F76*G76-C75*D75+E75)/(G76-C75)),""))</f>
        <v/>
      </c>
      <c r="G75" s="8">
        <f>IF(B75="买入",G76+C75,IF(B75="卖出",MAX(0,G76-C75),""))</f>
        <v/>
      </c>
      <c r="H75">
        <f>IF(B75="",H76,IF(B75="买入",H76,IF(B75="卖出",IF(G75=0,0,H76+(D75-F75)*C75-E75),H76)))</f>
        <v/>
      </c>
    </row>
    <row r="76">
      <c r="A76" s="6" t="n"/>
      <c r="B76" s="7" t="n"/>
      <c r="C76" s="7" t="n"/>
      <c r="D76" s="7" t="n"/>
      <c r="E76" s="7" t="n"/>
      <c r="F76" s="8">
        <f>IF(B76="买入",IF(G77&lt;=0,(C76*D76+E76)/C76,(F77*G77+C76*D76+E76)/(G77+C76)),IF(B76="卖出",IF(G77-C76&lt;=0,F77,(F77*G77-C76*D76+E76)/(G77-C76)),""))</f>
        <v/>
      </c>
      <c r="G76" s="8">
        <f>IF(B76="买入",G77+C76,IF(B76="卖出",MAX(0,G77-C76),""))</f>
        <v/>
      </c>
      <c r="H76">
        <f>IF(B76="",H77,IF(B76="买入",H77,IF(B76="卖出",IF(G76=0,0,H77+(D76-F76)*C76-E76),H77)))</f>
        <v/>
      </c>
    </row>
    <row r="77">
      <c r="A77" s="6" t="n"/>
      <c r="B77" s="7" t="n"/>
      <c r="C77" s="7" t="n"/>
      <c r="D77" s="7" t="n"/>
      <c r="E77" s="7" t="n"/>
      <c r="F77" s="8">
        <f>IF(B77="买入",IF(G78&lt;=0,(C77*D77+E77)/C77,(F78*G78+C77*D77+E77)/(G78+C77)),IF(B77="卖出",IF(G78-C77&lt;=0,F78,(F78*G78-C77*D77+E77)/(G78-C77)),""))</f>
        <v/>
      </c>
      <c r="G77" s="8">
        <f>IF(B77="买入",G78+C77,IF(B77="卖出",MAX(0,G78-C77),""))</f>
        <v/>
      </c>
      <c r="H77">
        <f>IF(B77="",H78,IF(B77="买入",H78,IF(B77="卖出",IF(G77=0,0,H78+(D77-F77)*C77-E77),H78)))</f>
        <v/>
      </c>
    </row>
    <row r="78">
      <c r="A78" s="6" t="n"/>
      <c r="B78" s="7" t="n"/>
      <c r="C78" s="7" t="n"/>
      <c r="D78" s="7" t="n"/>
      <c r="E78" s="7" t="n"/>
      <c r="F78" s="8">
        <f>IF(B78="买入",IF(G79&lt;=0,(C78*D78+E78)/C78,(F79*G79+C78*D78+E78)/(G79+C78)),IF(B78="卖出",IF(G79-C78&lt;=0,F79,(F79*G79-C78*D78+E78)/(G79-C78)),""))</f>
        <v/>
      </c>
      <c r="G78" s="8">
        <f>IF(B78="买入",G79+C78,IF(B78="卖出",MAX(0,G79-C78),""))</f>
        <v/>
      </c>
      <c r="H78">
        <f>IF(B78="",H79,IF(B78="买入",H79,IF(B78="卖出",IF(G78=0,0,H79+(D78-F78)*C78-E78),H79)))</f>
        <v/>
      </c>
    </row>
    <row r="79">
      <c r="A79" s="6" t="n"/>
      <c r="B79" s="7" t="n"/>
      <c r="C79" s="7" t="n"/>
      <c r="D79" s="7" t="n"/>
      <c r="E79" s="7" t="n"/>
      <c r="F79" s="8">
        <f>IF(B79="买入",IF(G80&lt;=0,(C79*D79+E79)/C79,(F80*G80+C79*D79+E79)/(G80+C79)),IF(B79="卖出",IF(G80-C79&lt;=0,F80,(F80*G80-C79*D79+E79)/(G80-C79)),""))</f>
        <v/>
      </c>
      <c r="G79" s="8">
        <f>IF(B79="买入",G80+C79,IF(B79="卖出",MAX(0,G80-C79),""))</f>
        <v/>
      </c>
      <c r="H79">
        <f>IF(B79="",H80,IF(B79="买入",H80,IF(B79="卖出",IF(G79=0,0,H80+(D79-F79)*C79-E79),H80)))</f>
        <v/>
      </c>
    </row>
    <row r="80">
      <c r="A80" s="6" t="n"/>
      <c r="B80" s="7" t="n"/>
      <c r="C80" s="7" t="n"/>
      <c r="D80" s="7" t="n"/>
      <c r="E80" s="7" t="n"/>
      <c r="F80" s="8">
        <f>IF(B80="买入",IF(G81&lt;=0,(C80*D80+E80)/C80,(F81*G81+C80*D80+E80)/(G81+C80)),IF(B80="卖出",IF(G81-C80&lt;=0,F81,(F81*G81-C80*D80+E80)/(G81-C80)),""))</f>
        <v/>
      </c>
      <c r="G80" s="8">
        <f>IF(B80="买入",G81+C80,IF(B80="卖出",MAX(0,G81-C80),""))</f>
        <v/>
      </c>
      <c r="H80">
        <f>IF(B80="",H81,IF(B80="买入",H81,IF(B80="卖出",IF(G80=0,0,H81+(D80-F80)*C80-E80),H81)))</f>
        <v/>
      </c>
    </row>
    <row r="81">
      <c r="A81" s="6" t="n"/>
      <c r="B81" s="7" t="n"/>
      <c r="C81" s="7" t="n"/>
      <c r="D81" s="7" t="n"/>
      <c r="E81" s="7" t="n"/>
      <c r="F81" s="8">
        <f>IF(B81="买入",IF(G82&lt;=0,(C81*D81+E81)/C81,(F82*G82+C81*D81+E81)/(G82+C81)),IF(B81="卖出",IF(G82-C81&lt;=0,F82,(F82*G82-C81*D81+E81)/(G82-C81)),""))</f>
        <v/>
      </c>
      <c r="G81" s="8">
        <f>IF(B81="买入",G82+C81,IF(B81="卖出",MAX(0,G82-C81),""))</f>
        <v/>
      </c>
      <c r="H81">
        <f>IF(B81="",H82,IF(B81="买入",H82,IF(B81="卖出",IF(G81=0,0,H82+(D81-F81)*C81-E81),H82)))</f>
        <v/>
      </c>
    </row>
    <row r="82">
      <c r="A82" s="6" t="n"/>
      <c r="B82" s="7" t="n"/>
      <c r="C82" s="7" t="n"/>
      <c r="D82" s="7" t="n"/>
      <c r="E82" s="7" t="n"/>
      <c r="F82" s="8">
        <f>IF(B82="买入",IF(G83&lt;=0,(C82*D82+E82)/C82,(F83*G83+C82*D82+E82)/(G83+C82)),IF(B82="卖出",IF(G83-C82&lt;=0,F83,(F83*G83-C82*D82+E82)/(G83-C82)),""))</f>
        <v/>
      </c>
      <c r="G82" s="8">
        <f>IF(B82="买入",G83+C82,IF(B82="卖出",MAX(0,G83-C82),""))</f>
        <v/>
      </c>
      <c r="H82">
        <f>IF(B82="",H83,IF(B82="买入",H83,IF(B82="卖出",IF(G82=0,0,H83+(D82-F82)*C82-E82),H83)))</f>
        <v/>
      </c>
    </row>
    <row r="83">
      <c r="A83" s="6" t="n"/>
      <c r="B83" s="7" t="n"/>
      <c r="C83" s="7" t="n"/>
      <c r="D83" s="7" t="n"/>
      <c r="E83" s="7" t="n"/>
      <c r="F83" s="8">
        <f>IF(B83="买入",IF(G84&lt;=0,(C83*D83+E83)/C83,(F84*G84+C83*D83+E83)/(G84+C83)),IF(B83="卖出",IF(G84-C83&lt;=0,F84,(F84*G84-C83*D83+E83)/(G84-C83)),""))</f>
        <v/>
      </c>
      <c r="G83" s="8">
        <f>IF(B83="买入",G84+C83,IF(B83="卖出",MAX(0,G84-C83),""))</f>
        <v/>
      </c>
      <c r="H83">
        <f>IF(B83="",H84,IF(B83="买入",H84,IF(B83="卖出",IF(G83=0,0,H84+(D83-F83)*C83-E83),H84)))</f>
        <v/>
      </c>
    </row>
    <row r="84">
      <c r="A84" s="6" t="n"/>
      <c r="B84" s="7" t="n"/>
      <c r="C84" s="7" t="n"/>
      <c r="D84" s="7" t="n"/>
      <c r="E84" s="7" t="n"/>
      <c r="F84" s="8">
        <f>IF(B84="买入",IF(G85&lt;=0,(C84*D84+E84)/C84,(F85*G85+C84*D84+E84)/(G85+C84)),IF(B84="卖出",IF(G85-C84&lt;=0,F85,(F85*G85-C84*D84+E84)/(G85-C84)),""))</f>
        <v/>
      </c>
      <c r="G84" s="8">
        <f>IF(B84="买入",G85+C84,IF(B84="卖出",MAX(0,G85-C84),""))</f>
        <v/>
      </c>
      <c r="H84">
        <f>IF(B84="",H85,IF(B84="买入",H85,IF(B84="卖出",IF(G84=0,0,H85+(D84-F84)*C84-E84),H85)))</f>
        <v/>
      </c>
    </row>
    <row r="85">
      <c r="A85" s="6" t="n"/>
      <c r="B85" s="7" t="n"/>
      <c r="C85" s="7" t="n"/>
      <c r="D85" s="7" t="n"/>
      <c r="E85" s="7" t="n"/>
      <c r="F85" s="8">
        <f>IF(B85="买入",IF(G86&lt;=0,(C85*D85+E85)/C85,(F86*G86+C85*D85+E85)/(G86+C85)),IF(B85="卖出",IF(G86-C85&lt;=0,F86,(F86*G86-C85*D85+E85)/(G86-C85)),""))</f>
        <v/>
      </c>
      <c r="G85" s="8">
        <f>IF(B85="买入",G86+C85,IF(B85="卖出",MAX(0,G86-C85),""))</f>
        <v/>
      </c>
      <c r="H85">
        <f>IF(B85="",H86,IF(B85="买入",H86,IF(B85="卖出",IF(G85=0,0,H86+(D85-F85)*C85-E85),H86)))</f>
        <v/>
      </c>
    </row>
    <row r="86">
      <c r="A86" s="6" t="n"/>
      <c r="B86" s="7" t="n"/>
      <c r="C86" s="7" t="n"/>
      <c r="D86" s="7" t="n"/>
      <c r="E86" s="7" t="n"/>
      <c r="F86" s="8">
        <f>IF(B86="买入",IF(G87&lt;=0,(C86*D86+E86)/C86,(F87*G87+C86*D86+E86)/(G87+C86)),IF(B86="卖出",IF(G87-C86&lt;=0,F87,(F87*G87-C86*D86+E86)/(G87-C86)),""))</f>
        <v/>
      </c>
      <c r="G86" s="8">
        <f>IF(B86="买入",G87+C86,IF(B86="卖出",MAX(0,G87-C86),""))</f>
        <v/>
      </c>
      <c r="H86">
        <f>IF(B86="",H87,IF(B86="买入",H87,IF(B86="卖出",IF(G86=0,0,H87+(D86-F86)*C86-E86),H87)))</f>
        <v/>
      </c>
    </row>
    <row r="87">
      <c r="A87" s="6" t="n"/>
      <c r="B87" s="7" t="n"/>
      <c r="C87" s="7" t="n"/>
      <c r="D87" s="7" t="n"/>
      <c r="E87" s="7" t="n"/>
      <c r="F87" s="8">
        <f>IF(B87="买入",IF(G88&lt;=0,(C87*D87+E87)/C87,(F88*G88+C87*D87+E87)/(G88+C87)),IF(B87="卖出",IF(G88-C87&lt;=0,F88,(F88*G88-C87*D87+E87)/(G88-C87)),""))</f>
        <v/>
      </c>
      <c r="G87" s="8">
        <f>IF(B87="买入",G88+C87,IF(B87="卖出",MAX(0,G88-C87),""))</f>
        <v/>
      </c>
      <c r="H87">
        <f>IF(B87="",H88,IF(B87="买入",H88,IF(B87="卖出",IF(G87=0,0,H88+(D87-F87)*C87-E87),H88)))</f>
        <v/>
      </c>
    </row>
    <row r="88">
      <c r="A88" s="6" t="n"/>
      <c r="B88" s="7" t="n"/>
      <c r="C88" s="7" t="n"/>
      <c r="D88" s="7" t="n"/>
      <c r="E88" s="7" t="n"/>
      <c r="F88" s="8">
        <f>IF(B88="买入",IF(G89&lt;=0,(C88*D88+E88)/C88,(F89*G89+C88*D88+E88)/(G89+C88)),IF(B88="卖出",IF(G89-C88&lt;=0,F89,(F89*G89-C88*D88+E88)/(G89-C88)),""))</f>
        <v/>
      </c>
      <c r="G88" s="8">
        <f>IF(B88="买入",G89+C88,IF(B88="卖出",MAX(0,G89-C88),""))</f>
        <v/>
      </c>
      <c r="H88">
        <f>IF(B88="",H89,IF(B88="买入",H89,IF(B88="卖出",IF(G88=0,0,H89+(D88-F88)*C88-E88),H89)))</f>
        <v/>
      </c>
    </row>
    <row r="89">
      <c r="A89" s="6" t="n"/>
      <c r="B89" s="7" t="n"/>
      <c r="C89" s="7" t="n"/>
      <c r="D89" s="7" t="n"/>
      <c r="E89" s="7" t="n"/>
      <c r="F89" s="8">
        <f>IF(B89="买入",IF(G90&lt;=0,(C89*D89+E89)/C89,(F90*G90+C89*D89+E89)/(G90+C89)),IF(B89="卖出",IF(G90-C89&lt;=0,F90,(F90*G90-C89*D89+E89)/(G90-C89)),""))</f>
        <v/>
      </c>
      <c r="G89" s="8">
        <f>IF(B89="买入",G90+C89,IF(B89="卖出",MAX(0,G90-C89),""))</f>
        <v/>
      </c>
      <c r="H89">
        <f>IF(B89="",H90,IF(B89="买入",H90,IF(B89="卖出",IF(G89=0,0,H90+(D89-F89)*C89-E89),H90)))</f>
        <v/>
      </c>
    </row>
    <row r="90">
      <c r="A90" s="6" t="n"/>
      <c r="B90" s="7" t="n"/>
      <c r="C90" s="7" t="n"/>
      <c r="D90" s="7" t="n"/>
      <c r="E90" s="7" t="n"/>
      <c r="F90" s="8">
        <f>IF(B90="买入",IF(G91&lt;=0,(C90*D90+E90)/C90,(F91*G91+C90*D90+E90)/(G91+C90)),IF(B90="卖出",IF(G91-C90&lt;=0,F91,(F91*G91-C90*D90+E90)/(G91-C90)),""))</f>
        <v/>
      </c>
      <c r="G90" s="8">
        <f>IF(B90="买入",G91+C90,IF(B90="卖出",MAX(0,G91-C90),""))</f>
        <v/>
      </c>
      <c r="H90">
        <f>IF(B90="",H91,IF(B90="买入",H91,IF(B90="卖出",IF(G90=0,0,H91+(D90-F90)*C90-E90),H91)))</f>
        <v/>
      </c>
    </row>
    <row r="91">
      <c r="A91" s="6" t="n"/>
      <c r="B91" s="7" t="n"/>
      <c r="C91" s="7" t="n"/>
      <c r="D91" s="7" t="n"/>
      <c r="E91" s="7" t="n"/>
      <c r="F91" s="8">
        <f>IF(B91="买入",IF(G92&lt;=0,(C91*D91+E91)/C91,(F92*G92+C91*D91+E91)/(G92+C91)),IF(B91="卖出",IF(G92-C91&lt;=0,F92,(F92*G92-C91*D91+E91)/(G92-C91)),""))</f>
        <v/>
      </c>
      <c r="G91" s="8">
        <f>IF(B91="买入",G92+C91,IF(B91="卖出",MAX(0,G92-C91),""))</f>
        <v/>
      </c>
      <c r="H91">
        <f>IF(B91="",H92,IF(B91="买入",H92,IF(B91="卖出",IF(G91=0,0,H92+(D91-F91)*C91-E91),H92)))</f>
        <v/>
      </c>
    </row>
    <row r="92">
      <c r="A92" s="6" t="n"/>
      <c r="B92" s="7" t="n"/>
      <c r="C92" s="7" t="n"/>
      <c r="D92" s="7" t="n"/>
      <c r="E92" s="7" t="n"/>
      <c r="F92" s="8">
        <f>IF(B92="买入",IF(G93&lt;=0,(C92*D92+E92)/C92,(F93*G93+C92*D92+E92)/(G93+C92)),IF(B92="卖出",IF(G93-C92&lt;=0,F93,(F93*G93-C92*D92+E92)/(G93-C92)),""))</f>
        <v/>
      </c>
      <c r="G92" s="8">
        <f>IF(B92="买入",G93+C92,IF(B92="卖出",MAX(0,G93-C92),""))</f>
        <v/>
      </c>
      <c r="H92">
        <f>IF(B92="",H93,IF(B92="买入",H93,IF(B92="卖出",IF(G92=0,0,H93+(D92-F92)*C92-E92),H93)))</f>
        <v/>
      </c>
    </row>
    <row r="93">
      <c r="A93" s="6" t="n"/>
      <c r="B93" s="7" t="n"/>
      <c r="C93" s="7" t="n"/>
      <c r="D93" s="7" t="n"/>
      <c r="E93" s="7" t="n"/>
      <c r="F93" s="8">
        <f>IF(B93="买入",IF(G94&lt;=0,(C93*D93+E93)/C93,(F94*G94+C93*D93+E93)/(G94+C93)),IF(B93="卖出",IF(G94-C93&lt;=0,F94,(F94*G94-C93*D93+E93)/(G94-C93)),""))</f>
        <v/>
      </c>
      <c r="G93" s="8">
        <f>IF(B93="买入",G94+C93,IF(B93="卖出",MAX(0,G94-C93),""))</f>
        <v/>
      </c>
      <c r="H93">
        <f>IF(B93="",H94,IF(B93="买入",H94,IF(B93="卖出",IF(G93=0,0,H94+(D93-F93)*C93-E93),H94)))</f>
        <v/>
      </c>
    </row>
    <row r="94">
      <c r="A94" s="6" t="n"/>
      <c r="B94" s="7" t="n"/>
      <c r="C94" s="7" t="n"/>
      <c r="D94" s="7" t="n"/>
      <c r="E94" s="7" t="n"/>
      <c r="F94" s="8">
        <f>IF(B94="买入",IF(G95&lt;=0,(C94*D94+E94)/C94,(F95*G95+C94*D94+E94)/(G95+C94)),IF(B94="卖出",IF(G95-C94&lt;=0,F95,(F95*G95-C94*D94+E94)/(G95-C94)),""))</f>
        <v/>
      </c>
      <c r="G94" s="8">
        <f>IF(B94="买入",G95+C94,IF(B94="卖出",MAX(0,G95-C94),""))</f>
        <v/>
      </c>
      <c r="H94">
        <f>IF(B94="",H95,IF(B94="买入",H95,IF(B94="卖出",IF(G94=0,0,H95+(D94-F94)*C94-E94),H95)))</f>
        <v/>
      </c>
    </row>
    <row r="95">
      <c r="A95" s="6" t="n"/>
      <c r="B95" s="7" t="n"/>
      <c r="C95" s="7" t="n"/>
      <c r="D95" s="7" t="n"/>
      <c r="E95" s="7" t="n"/>
      <c r="F95" s="8">
        <f>IF(B95="买入",IF(G96&lt;=0,(C95*D95+E95)/C95,(F96*G96+C95*D95+E95)/(G96+C95)),IF(B95="卖出",IF(G96-C95&lt;=0,F96,(F96*G96-C95*D95+E95)/(G96-C95)),""))</f>
        <v/>
      </c>
      <c r="G95" s="8">
        <f>IF(B95="买入",G96+C95,IF(B95="卖出",MAX(0,G96-C95),""))</f>
        <v/>
      </c>
      <c r="H95">
        <f>IF(B95="",H96,IF(B95="买入",H96,IF(B95="卖出",IF(G95=0,0,H96+(D95-F95)*C95-E95),H96)))</f>
        <v/>
      </c>
    </row>
    <row r="96">
      <c r="A96" s="6" t="n"/>
      <c r="B96" s="7" t="n"/>
      <c r="C96" s="7" t="n"/>
      <c r="D96" s="7" t="n"/>
      <c r="E96" s="7" t="n"/>
      <c r="F96" s="8">
        <f>IF(B96="买入",IF(G97&lt;=0,(C96*D96+E96)/C96,(F97*G97+C96*D96+E96)/(G97+C96)),IF(B96="卖出",IF(G97-C96&lt;=0,F97,(F97*G97-C96*D96+E96)/(G97-C96)),""))</f>
        <v/>
      </c>
      <c r="G96" s="8">
        <f>IF(B96="买入",G97+C96,IF(B96="卖出",MAX(0,G97-C96),""))</f>
        <v/>
      </c>
      <c r="H96">
        <f>IF(B96="",H97,IF(B96="买入",H97,IF(B96="卖出",IF(G96=0,0,H97+(D96-F96)*C96-E96),H97)))</f>
        <v/>
      </c>
    </row>
    <row r="97">
      <c r="A97" s="6" t="n"/>
      <c r="B97" s="7" t="n"/>
      <c r="C97" s="7" t="n"/>
      <c r="D97" s="7" t="n"/>
      <c r="E97" s="7" t="n"/>
      <c r="F97" s="8">
        <f>IF(B97="买入",IF(G98&lt;=0,(C97*D97+E97)/C97,(F98*G98+C97*D97+E97)/(G98+C97)),IF(B97="卖出",IF(G98-C97&lt;=0,F98,(F98*G98-C97*D97+E97)/(G98-C97)),""))</f>
        <v/>
      </c>
      <c r="G97" s="8">
        <f>IF(B97="买入",G98+C97,IF(B97="卖出",MAX(0,G98-C97),""))</f>
        <v/>
      </c>
      <c r="H97">
        <f>IF(B97="",H98,IF(B97="买入",H98,IF(B97="卖出",IF(G97=0,0,H98+(D97-F97)*C97-E97),H98)))</f>
        <v/>
      </c>
    </row>
    <row r="98">
      <c r="A98" s="6" t="n"/>
      <c r="B98" s="7" t="n"/>
      <c r="C98" s="7" t="n"/>
      <c r="D98" s="7" t="n"/>
      <c r="E98" s="7" t="n"/>
      <c r="F98" s="8">
        <f>IF(B98="买入",IF(G99&lt;=0,(C98*D98+E98)/C98,(F99*G99+C98*D98+E98)/(G99+C98)),IF(B98="卖出",IF(G99-C98&lt;=0,F99,(F99*G99-C98*D98+E98)/(G99-C98)),""))</f>
        <v/>
      </c>
      <c r="G98" s="8">
        <f>IF(B98="买入",G99+C98,IF(B98="卖出",MAX(0,G99-C98),""))</f>
        <v/>
      </c>
      <c r="H98">
        <f>IF(B98="",H99,IF(B98="买入",H99,IF(B98="卖出",IF(G98=0,0,H99+(D98-F98)*C98-E98),H99)))</f>
        <v/>
      </c>
    </row>
    <row r="99">
      <c r="A99" s="6" t="n"/>
      <c r="B99" s="7" t="n"/>
      <c r="C99" s="7" t="n"/>
      <c r="D99" s="7" t="n"/>
      <c r="E99" s="7" t="n"/>
      <c r="F99" s="8">
        <f>IF(B99="买入",IF(G100&lt;=0,(C99*D99+E99)/C99,(F100*G100+C99*D99+E99)/(G100+C99)),IF(B99="卖出",IF(G100-C99&lt;=0,F100,(F100*G100-C99*D99+E99)/(G100-C99)),""))</f>
        <v/>
      </c>
      <c r="G99" s="8">
        <f>IF(B99="买入",G100+C99,IF(B99="卖出",MAX(0,G100-C99),""))</f>
        <v/>
      </c>
      <c r="H99">
        <f>IF(B99="",H100,IF(B99="买入",H100,IF(B99="卖出",IF(G99=0,0,H100+(D99-F99)*C99-E99),H100)))</f>
        <v/>
      </c>
    </row>
    <row r="100">
      <c r="A100" s="6" t="n"/>
      <c r="B100" s="7" t="n"/>
      <c r="C100" s="7" t="n"/>
      <c r="D100" s="7" t="n"/>
      <c r="E100" s="7" t="n"/>
      <c r="F100" s="8">
        <f>IF(B100="买入",IF(G101&lt;=0,(C100*D100+E100)/C100,(F101*G101+C100*D100+E100)/(G101+C100)),IF(B100="卖出",IF(G101-C100&lt;=0,F101,(F101*G101-C100*D100+E100)/(G101-C100)),""))</f>
        <v/>
      </c>
      <c r="G100" s="8">
        <f>IF(B100="买入",G101+C100,IF(B100="卖出",MAX(0,G101-C100),""))</f>
        <v/>
      </c>
      <c r="H100">
        <f>IF(B100="",H101,IF(B100="买入",H101,IF(B100="卖出",IF(G100=0,0,H101+(D100-F100)*C100-E100),H101)))</f>
        <v/>
      </c>
    </row>
    <row r="101">
      <c r="A101" s="6" t="n"/>
      <c r="B101" s="7" t="n"/>
      <c r="C101" s="7" t="n"/>
      <c r="D101" s="7" t="n"/>
      <c r="E101" s="7" t="n"/>
      <c r="F101" s="8">
        <f>IF(B101="买入",IF(G102&lt;=0,(C101*D101+E101)/C101,(F102*G102+C101*D101+E101)/(G102+C101)),IF(B101="卖出",IF(G102-C101&lt;=0,F102,(F102*G102-C101*D101+E101)/(G102-C101)),""))</f>
        <v/>
      </c>
      <c r="G101" s="8">
        <f>IF(B101="买入",G102+C101,IF(B101="卖出",MAX(0,G102-C101),""))</f>
        <v/>
      </c>
      <c r="H101">
        <f>IF(B101="",0,IF(B101="买入",0,IF(B101="卖出",IF(G101=0,0,(D101-F101)*C101-E101),0)))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5">
    <mergeCell ref="A1:G1"/>
    <mergeCell ref="A3:G3"/>
    <mergeCell ref="A4:G4"/>
    <mergeCell ref="A2:G2"/>
    <mergeCell ref="A5:G5"/>
  </mergeCells>
  <conditionalFormatting sqref="A7:G101">
    <cfRule type="expression" priority="1" dxfId="0">
      <formula>COUNTA($A7:$E7)&gt;0</formula>
    </cfRule>
  </conditionalFormatting>
  <conditionalFormatting sqref="B7:B101">
    <cfRule type="expression" priority="2" dxfId="1">
      <formula>B7="买入"</formula>
    </cfRule>
    <cfRule type="expression" priority="3" dxfId="2">
      <formula>B7="卖出"</formula>
    </cfRule>
  </conditionalFormatting>
  <dataValidations count="1">
    <dataValidation sqref="B7:B101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hidden="1" width="13" customWidth="1" min="8" max="8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🟢 买入成本 = (原成本×原股数 + 买入金额 + 手续费) ÷ (原股数 + 买入股数)  |  🔴 卖出时成本不变，清仓后重新买入按新买入价计算</t>
        </is>
      </c>
    </row>
    <row r="4" ht="12" customHeight="1">
      <c r="A4" s="2" t="inlineStr">
        <is>
          <t>--------------------------------------------------------------------------------</t>
        </is>
      </c>
    </row>
    <row r="5" ht="22" customHeight="1">
      <c r="A5" s="4">
        <f>IF(COUNTA(B7:B101)=0,"","⚖️ 盈亏平衡点: $"&amp;TEXT(F7-IFERROR(H7/G7,0),"#,##0.00")&amp;"  (差价: $"&amp;TEXT(-IFERROR(H7/G7,0),"#,##0.00")&amp;")")</f>
        <v/>
      </c>
    </row>
    <row r="6" ht="22" customHeight="1">
      <c r="A6" s="5" t="inlineStr">
        <is>
          <t>日期</t>
        </is>
      </c>
      <c r="B6" s="5" t="inlineStr">
        <is>
          <t>操作</t>
        </is>
      </c>
      <c r="C6" s="5" t="inlineStr">
        <is>
          <t>数量</t>
        </is>
      </c>
      <c r="D6" s="5" t="inlineStr">
        <is>
          <t>价格</t>
        </is>
      </c>
      <c r="E6" s="5" t="inlineStr">
        <is>
          <t>手续费</t>
        </is>
      </c>
      <c r="F6" s="5" t="inlineStr">
        <is>
          <t>持仓成本</t>
        </is>
      </c>
      <c r="G6" s="5" t="inlineStr">
        <is>
          <t>累计持仓</t>
        </is>
      </c>
    </row>
    <row r="7">
      <c r="A7" s="6" t="inlineStr">
        <is>
          <t>2026-05-11</t>
        </is>
      </c>
      <c r="B7" s="7" t="inlineStr">
        <is>
          <t>卖出</t>
        </is>
      </c>
      <c r="C7" s="7" t="n">
        <v>1.6655</v>
      </c>
      <c r="D7" s="7" t="n">
        <v>437.4422</v>
      </c>
      <c r="E7" s="7" t="n">
        <v>0.02</v>
      </c>
      <c r="F7" s="8">
        <f>IF(B7="买入",IF(G8&lt;=0,(C7*D7+E7)/C7,(F8*G8+C7*D7+E7)/(G8+C7)),IF(B7="卖出",IF(G8-C7&lt;=0,F8,(F8*G8-C7*D7+E7)/(G8-C7)),""))</f>
        <v/>
      </c>
      <c r="G7" s="8">
        <f>IF(B7="买入",G8+C7,IF(B7="卖出",MAX(0,G8-C7),""))</f>
        <v/>
      </c>
      <c r="H7">
        <f>IF(B7="",H8,IF(B7="买入",H8,IF(B7="卖出",IF(G7=0,0,H8+(D7-F7)*C7-E7),H8)))</f>
        <v/>
      </c>
    </row>
    <row r="8">
      <c r="A8" s="6" t="inlineStr">
        <is>
          <t>2026-04-16</t>
        </is>
      </c>
      <c r="B8" s="7" t="inlineStr">
        <is>
          <t>买入</t>
        </is>
      </c>
      <c r="C8" s="7" t="n">
        <v>0.1285</v>
      </c>
      <c r="D8" s="7" t="n">
        <v>388.9712</v>
      </c>
      <c r="E8" s="7" t="n">
        <v>0</v>
      </c>
      <c r="F8" s="8">
        <f>IF(B8="买入",IF(G9&lt;=0,(C8*D8+E8)/C8,(F9*G9+C8*D8+E8)/(G9+C8)),IF(B8="卖出",IF(G9-C8&lt;=0,F9,(F9*G9-C8*D8+E8)/(G9-C8)),""))</f>
        <v/>
      </c>
      <c r="G8" s="8">
        <f>IF(B8="买入",G9+C8,IF(B8="卖出",MAX(0,G9-C8),""))</f>
        <v/>
      </c>
      <c r="H8">
        <f>IF(B8="",H9,IF(B8="买入",H9,IF(B8="卖出",IF(G8=0,0,H9+(D8-F8)*C8-E8),H9)))</f>
        <v/>
      </c>
    </row>
    <row r="9">
      <c r="A9" s="6" t="inlineStr">
        <is>
          <t>2026-04-15</t>
        </is>
      </c>
      <c r="B9" s="7" t="inlineStr">
        <is>
          <t>买入</t>
        </is>
      </c>
      <c r="C9" s="7" t="n">
        <v>0.1348</v>
      </c>
      <c r="D9" s="7" t="n">
        <v>370.9007</v>
      </c>
      <c r="E9" s="7" t="n">
        <v>0</v>
      </c>
      <c r="F9" s="8">
        <f>IF(B9="买入",IF(G10&lt;=0,(C9*D9+E9)/C9,(F10*G10+C9*D9+E9)/(G10+C9)),IF(B9="卖出",IF(G10-C9&lt;=0,F10,(F10*G10-C9*D9+E9)/(G10-C9)),""))</f>
        <v/>
      </c>
      <c r="G9" s="8">
        <f>IF(B9="买入",G10+C9,IF(B9="卖出",MAX(0,G10-C9),""))</f>
        <v/>
      </c>
      <c r="H9">
        <f>IF(B9="",H10,IF(B9="买入",H10,IF(B9="卖出",IF(G9=0,0,H10+(D9-F9)*C9-E9),H10)))</f>
        <v/>
      </c>
    </row>
    <row r="10">
      <c r="A10" s="6" t="inlineStr">
        <is>
          <t>2026-04-14</t>
        </is>
      </c>
      <c r="B10" s="7" t="inlineStr">
        <is>
          <t>买入</t>
        </is>
      </c>
      <c r="C10" s="7" t="n">
        <v>0.2785</v>
      </c>
      <c r="D10" s="7" t="n">
        <v>359.06</v>
      </c>
      <c r="E10" s="7" t="n">
        <v>0</v>
      </c>
      <c r="F10" s="8">
        <f>IF(B10="买入",IF(G11&lt;=0,(C10*D10+E10)/C10,(F11*G11+C10*D10+E10)/(G11+C10)),IF(B10="卖出",IF(G11-C10&lt;=0,F11,(F11*G11-C10*D10+E10)/(G11-C10)),""))</f>
        <v/>
      </c>
      <c r="G10" s="8">
        <f>IF(B10="买入",G11+C10,IF(B10="卖出",MAX(0,G11-C10),""))</f>
        <v/>
      </c>
      <c r="H10">
        <f>IF(B10="",H11,IF(B10="买入",H11,IF(B10="卖出",IF(G10=0,0,H11+(D10-F10)*C10-E10),H11)))</f>
        <v/>
      </c>
    </row>
    <row r="11">
      <c r="A11" s="6" t="inlineStr">
        <is>
          <t>2026-04-09</t>
        </is>
      </c>
      <c r="B11" s="7" t="inlineStr">
        <is>
          <t>买入</t>
        </is>
      </c>
      <c r="C11" s="7" t="n">
        <v>0.144</v>
      </c>
      <c r="D11" s="7" t="n">
        <v>347.0156</v>
      </c>
      <c r="E11" s="7" t="n">
        <v>0</v>
      </c>
      <c r="F11" s="8">
        <f>IF(B11="买入",IF(G12&lt;=0,(C11*D11+E11)/C11,(F12*G12+C11*D11+E11)/(G12+C11)),IF(B11="卖出",IF(G12-C11&lt;=0,F12,(F12*G12-C11*D11+E11)/(G12-C11)),""))</f>
        <v/>
      </c>
      <c r="G11" s="8">
        <f>IF(B11="买入",G12+C11,IF(B11="卖出",MAX(0,G12-C11),""))</f>
        <v/>
      </c>
      <c r="H11">
        <f>IF(B11="",H12,IF(B11="买入",H12,IF(B11="卖出",IF(G11=0,0,H12+(D11-F11)*C11-E11),H12)))</f>
        <v/>
      </c>
    </row>
    <row r="12">
      <c r="A12" s="6" t="inlineStr">
        <is>
          <t>2026-04-07</t>
        </is>
      </c>
      <c r="B12" s="7" t="inlineStr">
        <is>
          <t>买入</t>
        </is>
      </c>
      <c r="C12" s="7" t="n">
        <v>0.148</v>
      </c>
      <c r="D12" s="7" t="n">
        <v>337.6259</v>
      </c>
      <c r="E12" s="7" t="n">
        <v>0</v>
      </c>
      <c r="F12" s="8">
        <f>IF(B12="买入",IF(G13&lt;=0,(C12*D12+E12)/C12,(F13*G13+C12*D12+E12)/(G13+C12)),IF(B12="卖出",IF(G13-C12&lt;=0,F13,(F13*G13-C12*D12+E12)/(G13-C12)),""))</f>
        <v/>
      </c>
      <c r="G12" s="8">
        <f>IF(B12="买入",G13+C12,IF(B12="卖出",MAX(0,G13-C12),""))</f>
        <v/>
      </c>
      <c r="H12">
        <f>IF(B12="",H13,IF(B12="买入",H13,IF(B12="卖出",IF(G12=0,0,H13+(D12-F12)*C12-E12),H13)))</f>
        <v/>
      </c>
    </row>
    <row r="13">
      <c r="A13" s="6" t="inlineStr">
        <is>
          <t>2026-03-03</t>
        </is>
      </c>
      <c r="B13" s="7" t="inlineStr">
        <is>
          <t>买入</t>
        </is>
      </c>
      <c r="C13" s="7" t="n">
        <v>0.1276</v>
      </c>
      <c r="D13" s="7" t="n">
        <v>391.5961</v>
      </c>
      <c r="E13" s="7" t="n">
        <v>0</v>
      </c>
      <c r="F13" s="8">
        <f>IF(B13="买入",IF(G14&lt;=0,(C13*D13+E13)/C13,(F14*G14+C13*D13+E13)/(G14+C13)),IF(B13="卖出",IF(G14-C13&lt;=0,F14,(F14*G14-C13*D13+E13)/(G14-C13)),""))</f>
        <v/>
      </c>
      <c r="G13" s="8">
        <f>IF(B13="买入",G14+C13,IF(B13="卖出",MAX(0,G14-C13),""))</f>
        <v/>
      </c>
      <c r="H13">
        <f>IF(B13="",H14,IF(B13="买入",H14,IF(B13="卖出",IF(G13=0,0,H14+(D13-F13)*C13-E13),H14)))</f>
        <v/>
      </c>
    </row>
    <row r="14">
      <c r="A14" s="6" t="inlineStr">
        <is>
          <t>2026-02-27</t>
        </is>
      </c>
      <c r="B14" s="7" t="inlineStr">
        <is>
          <t>买入</t>
        </is>
      </c>
      <c r="C14" s="7" t="n">
        <v>0.1233</v>
      </c>
      <c r="D14" s="7" t="n">
        <v>405.255</v>
      </c>
      <c r="E14" s="7" t="n">
        <v>0</v>
      </c>
      <c r="F14" s="8">
        <f>IF(B14="买入",IF(G15&lt;=0,(C14*D14+E14)/C14,(F15*G15+C14*D14+E14)/(G15+C14)),IF(B14="卖出",IF(G15-C14&lt;=0,F15,(F15*G15-C14*D14+E14)/(G15-C14)),""))</f>
        <v/>
      </c>
      <c r="G14" s="8">
        <f>IF(B14="买入",G15+C14,IF(B14="卖出",MAX(0,G15-C14),""))</f>
        <v/>
      </c>
      <c r="H14">
        <f>IF(B14="",H15,IF(B14="买入",H15,IF(B14="卖出",IF(G14=0,0,H15+(D14-F14)*C14-E14),H15)))</f>
        <v/>
      </c>
    </row>
    <row r="15">
      <c r="A15" s="6" t="inlineStr">
        <is>
          <t>2026-02-23</t>
        </is>
      </c>
      <c r="B15" s="7" t="inlineStr">
        <is>
          <t>买入</t>
        </is>
      </c>
      <c r="C15" s="7" t="n">
        <v>0.1258</v>
      </c>
      <c r="D15" s="7" t="n">
        <v>397.4323</v>
      </c>
      <c r="E15" s="7" t="n">
        <v>0</v>
      </c>
      <c r="F15" s="8">
        <f>IF(B15="买入",IF(G16&lt;=0,(C15*D15+E15)/C15,(F16*G16+C15*D15+E15)/(G16+C15)),IF(B15="卖出",IF(G16-C15&lt;=0,F16,(F16*G16-C15*D15+E15)/(G16-C15)),""))</f>
        <v/>
      </c>
      <c r="G15" s="8">
        <f>IF(B15="买入",G16+C15,IF(B15="卖出",MAX(0,G16-C15),""))</f>
        <v/>
      </c>
      <c r="H15">
        <f>IF(B15="",H16,IF(B15="买入",H16,IF(B15="卖出",IF(G15=0,0,H16+(D15-F15)*C15-E15),H16)))</f>
        <v/>
      </c>
    </row>
    <row r="16">
      <c r="A16" s="6" t="inlineStr">
        <is>
          <t>2026-02-10</t>
        </is>
      </c>
      <c r="B16" s="7" t="inlineStr">
        <is>
          <t>买入</t>
        </is>
      </c>
      <c r="C16" s="7" t="n">
        <v>0.1182</v>
      </c>
      <c r="D16" s="7" t="n">
        <v>422.81</v>
      </c>
      <c r="E16" s="7" t="n">
        <v>0</v>
      </c>
      <c r="F16" s="8">
        <f>IF(B16="买入",IF(G17&lt;=0,(C16*D16+E16)/C16,(F17*G17+C16*D16+E16)/(G17+C16)),IF(B16="卖出",IF(G17-C16&lt;=0,F17,(F17*G17-C16*D16+E16)/(G17-C16)),""))</f>
        <v/>
      </c>
      <c r="G16" s="8">
        <f>IF(B16="买入",G17+C16,IF(B16="卖出",MAX(0,G17-C16),""))</f>
        <v/>
      </c>
      <c r="H16">
        <f>IF(B16="",H17,IF(B16="买入",H17,IF(B16="卖出",IF(G16=0,0,H17+(D16-F16)*C16-E16),H17)))</f>
        <v/>
      </c>
    </row>
    <row r="17">
      <c r="A17" s="6" t="inlineStr">
        <is>
          <t>2026-02-06</t>
        </is>
      </c>
      <c r="B17" s="7" t="inlineStr">
        <is>
          <t>买入</t>
        </is>
      </c>
      <c r="C17" s="7" t="n">
        <v>0.121</v>
      </c>
      <c r="D17" s="7" t="n">
        <v>413.2199</v>
      </c>
      <c r="E17" s="7" t="n">
        <v>0</v>
      </c>
      <c r="F17" s="8">
        <f>IF(B17="买入",IF(G18&lt;=0,(C17*D17+E17)/C17,(F18*G18+C17*D17+E17)/(G18+C17)),IF(B17="卖出",IF(G18-C17&lt;=0,F18,(F18*G18-C17*D17+E17)/(G18-C17)),""))</f>
        <v/>
      </c>
      <c r="G17" s="8">
        <f>IF(B17="买入",G18+C17,IF(B17="卖出",MAX(0,G18-C17),""))</f>
        <v/>
      </c>
      <c r="H17">
        <f>IF(B17="",H18,IF(B17="买入",H18,IF(B17="卖出",IF(G17=0,0,H18+(D17-F17)*C17-E17),H18)))</f>
        <v/>
      </c>
    </row>
    <row r="18">
      <c r="A18" s="6" t="inlineStr">
        <is>
          <t>2026-02-05</t>
        </is>
      </c>
      <c r="B18" s="7" t="inlineStr">
        <is>
          <t>买入</t>
        </is>
      </c>
      <c r="C18" s="7" t="n">
        <v>0.1258</v>
      </c>
      <c r="D18" s="7" t="n">
        <v>397.382</v>
      </c>
      <c r="E18" s="7" t="n">
        <v>0</v>
      </c>
      <c r="F18" s="8">
        <f>IF(B18="买入",IF(G19&lt;=0,(C18*D18+E18)/C18,(F19*G19+C18*D18+E18)/(G19+C18)),IF(B18="卖出",IF(G19-C18&lt;=0,F19,(F19*G19-C18*D18+E18)/(G19-C18)),""))</f>
        <v/>
      </c>
      <c r="G18" s="8">
        <f>IF(B18="买入",G19+C18,IF(B18="卖出",MAX(0,G19-C18),""))</f>
        <v/>
      </c>
      <c r="H18">
        <f>IF(B18="",H19,IF(B18="买入",H19,IF(B18="卖出",IF(G18=0,0,H19+(D18-F18)*C18-E18),H19)))</f>
        <v/>
      </c>
    </row>
    <row r="19">
      <c r="A19" s="6" t="inlineStr">
        <is>
          <t>2026-02-03</t>
        </is>
      </c>
      <c r="B19" s="7" t="inlineStr">
        <is>
          <t>买入</t>
        </is>
      </c>
      <c r="C19" s="7" t="n">
        <v>0.1187</v>
      </c>
      <c r="D19" s="7" t="n">
        <v>421.0846</v>
      </c>
      <c r="E19" s="7" t="n">
        <v>0</v>
      </c>
      <c r="F19" s="8">
        <f>IF(B19="买入",IF(G20&lt;=0,(C19*D19+E19)/C19,(F20*G20+C19*D19+E19)/(G20+C19)),IF(B19="卖出",IF(G20-C19&lt;=0,F20,(F20*G20-C19*D19+E19)/(G20-C19)),""))</f>
        <v/>
      </c>
      <c r="G19" s="8">
        <f>IF(B19="买入",G20+C19,IF(B19="卖出",MAX(0,G20-C19),""))</f>
        <v/>
      </c>
      <c r="H19">
        <f>IF(B19="",H20,IF(B19="买入",H20,IF(B19="卖出",IF(G19=0,0,H20+(D19-F19)*C19-E19),H20)))</f>
        <v/>
      </c>
    </row>
    <row r="20">
      <c r="A20" s="6" t="inlineStr">
        <is>
          <t>2026-02-02</t>
        </is>
      </c>
      <c r="B20" s="7" t="inlineStr">
        <is>
          <t>买入</t>
        </is>
      </c>
      <c r="C20" s="7" t="n">
        <v>0.1191</v>
      </c>
      <c r="D20" s="7" t="n">
        <v>419.6699</v>
      </c>
      <c r="E20" s="7" t="n">
        <v>0</v>
      </c>
      <c r="F20" s="8">
        <f>IF(B20="买入",IF(G21&lt;=0,(C20*D20+E20)/C20,(F21*G21+C20*D20+E20)/(G21+C20)),IF(B20="卖出",IF(G21-C20&lt;=0,F21,(F21*G21-C20*D20+E20)/(G21-C20)),""))</f>
        <v/>
      </c>
      <c r="G20" s="8">
        <f>IF(B20="买入",G21+C20,IF(B20="卖出",MAX(0,G21-C20),""))</f>
        <v/>
      </c>
      <c r="H20">
        <f>IF(B20="",H21,IF(B20="买入",H21,IF(B20="卖出",IF(G20=0,0,H21+(D20-F20)*C20-E20),H21)))</f>
        <v/>
      </c>
    </row>
    <row r="21">
      <c r="A21" s="6" t="inlineStr">
        <is>
          <t>2026-01-21</t>
        </is>
      </c>
      <c r="B21" s="7" t="inlineStr">
        <is>
          <t>买入</t>
        </is>
      </c>
      <c r="C21" s="7" t="n">
        <v>0.2346</v>
      </c>
      <c r="D21" s="7" t="n">
        <v>426.1163</v>
      </c>
      <c r="E21" s="7" t="n">
        <v>0</v>
      </c>
      <c r="F21" s="8">
        <f>IF(B21="买入",IF(G22&lt;=0,(C21*D21+E21)/C21,(F22*G22+C21*D21+E21)/(G22+C21)),IF(B21="卖出",IF(G22-C21&lt;=0,F22,(F22*G22-C21*D21+E21)/(G22-C21)),""))</f>
        <v/>
      </c>
      <c r="G21" s="8">
        <f>IF(B21="买入",G22+C21,IF(B21="卖出",MAX(0,G22-C21),""))</f>
        <v/>
      </c>
      <c r="H21">
        <f>IF(B21="",H22,IF(B21="买入",H22,IF(B21="卖出",IF(G21=0,0,H22+(D21-F21)*C21-E21),H22)))</f>
        <v/>
      </c>
    </row>
    <row r="22">
      <c r="A22" s="6" t="inlineStr">
        <is>
          <t>2026-01-08</t>
        </is>
      </c>
      <c r="B22" s="7" t="inlineStr">
        <is>
          <t>买入</t>
        </is>
      </c>
      <c r="C22" s="7" t="n">
        <v>0.1149</v>
      </c>
      <c r="D22" s="7" t="n">
        <v>435.1186</v>
      </c>
      <c r="E22" s="7" t="n">
        <v>0</v>
      </c>
      <c r="F22" s="8">
        <f>IF(B22="买入",IF(G23&lt;=0,(C22*D22+E22)/C22,(F23*G23+C22*D22+E22)/(G23+C22)),IF(B22="卖出",IF(G23-C22&lt;=0,F23,(F23*G23-C22*D22+E22)/(G23-C22)),""))</f>
        <v/>
      </c>
      <c r="G22" s="8">
        <f>IF(B22="买入",G23+C22,IF(B22="卖出",MAX(0,G23-C22),""))</f>
        <v/>
      </c>
      <c r="H22">
        <f>IF(B22="",H23,IF(B22="买入",H23,IF(B22="卖出",IF(G22=0,0,H23+(D22-F22)*C22-E22),H23)))</f>
        <v/>
      </c>
    </row>
    <row r="23">
      <c r="A23" s="6" t="inlineStr">
        <is>
          <t>2026-01-07</t>
        </is>
      </c>
      <c r="B23" s="7" t="inlineStr">
        <is>
          <t>买入</t>
        </is>
      </c>
      <c r="C23" s="7" t="n">
        <v>0.0571</v>
      </c>
      <c r="D23" s="7" t="n">
        <v>437.1863</v>
      </c>
      <c r="E23" s="7" t="n">
        <v>0</v>
      </c>
      <c r="F23" s="8">
        <f>IF(B23="买入",IF(G24&lt;=0,(C23*D23+E23)/C23,(F24*G24+C23*D23+E23)/(G24+C23)),IF(B23="卖出",IF(G24-C23&lt;=0,F24,(F24*G24-C23*D23+E23)/(G24-C23)),""))</f>
        <v/>
      </c>
      <c r="G23" s="8">
        <f>IF(B23="买入",G24+C23,IF(B23="卖出",MAX(0,G24-C23),""))</f>
        <v/>
      </c>
      <c r="H23">
        <f>IF(B23="",H24,IF(B23="买入",H24,IF(B23="卖出",IF(G23=0,0,H24+(D23-F23)*C23-E23),H24)))</f>
        <v/>
      </c>
    </row>
    <row r="24">
      <c r="A24" s="6" t="inlineStr">
        <is>
          <t>2026-01-06</t>
        </is>
      </c>
      <c r="B24" s="7" t="inlineStr">
        <is>
          <t>买入</t>
        </is>
      </c>
      <c r="C24" s="7" t="n">
        <v>0.1139</v>
      </c>
      <c r="D24" s="7" t="n">
        <v>438.6162</v>
      </c>
      <c r="E24" s="7" t="n">
        <v>0</v>
      </c>
      <c r="F24" s="8">
        <f>IF(B24="买入",IF(G25&lt;=0,(C24*D24+E24)/C24,(F25*G25+C24*D24+E24)/(G25+C24)),IF(B24="卖出",IF(G25-C24&lt;=0,F25,(F25*G25-C24*D24+E24)/(G25-C24)),""))</f>
        <v/>
      </c>
      <c r="G24" s="8">
        <f>IF(B24="买入",G25+C24,IF(B24="卖出",MAX(0,G25-C24),""))</f>
        <v/>
      </c>
      <c r="H24">
        <f>IF(B24="",H25,IF(B24="买入",H25,IF(B24="卖出",IF(G24=0,0,H25+(D24-F24)*C24-E24),H25)))</f>
        <v/>
      </c>
    </row>
    <row r="25">
      <c r="A25" s="6" t="inlineStr">
        <is>
          <t>2026-01-02</t>
        </is>
      </c>
      <c r="B25" s="7" t="inlineStr">
        <is>
          <t>买入</t>
        </is>
      </c>
      <c r="C25" s="7" t="n">
        <v>0.113</v>
      </c>
      <c r="D25" s="7" t="n">
        <v>442.3035</v>
      </c>
      <c r="E25" s="7" t="n">
        <v>0</v>
      </c>
      <c r="F25" s="8">
        <f>IF(B25="买入",IF(G26&lt;=0,(C25*D25+E25)/C25,(F26*G26+C25*D25+E25)/(G26+C25)),IF(B25="卖出",IF(G26-C25&lt;=0,F26,(F26*G26-C25*D25+E25)/(G26-C25)),""))</f>
        <v/>
      </c>
      <c r="G25" s="8">
        <f>IF(B25="买入",G26+C25,IF(B25="卖出",MAX(0,G26-C25),""))</f>
        <v/>
      </c>
      <c r="H25">
        <f>IF(B25="",H26,IF(B25="买入",H26,IF(B25="卖出",IF(G25=0,0,H26+(D25-F25)*C25-E25),H26)))</f>
        <v/>
      </c>
    </row>
    <row r="26">
      <c r="A26" s="6" t="inlineStr">
        <is>
          <t>2025-12-31</t>
        </is>
      </c>
      <c r="B26" s="7" t="inlineStr">
        <is>
          <t>买入</t>
        </is>
      </c>
      <c r="C26" s="7" t="n">
        <v>0.1101</v>
      </c>
      <c r="D26" s="7" t="n">
        <v>453.7566</v>
      </c>
      <c r="E26" s="7" t="n">
        <v>0</v>
      </c>
      <c r="F26" s="8">
        <f>IF(B26="买入",IF(G27&lt;=0,(C26*D26+E26)/C26,(F27*G27+C26*D26+E26)/(G27+C26)),IF(B26="卖出",IF(G27-C26&lt;=0,F27,(F27*G27-C26*D26+E26)/(G27-C26)),""))</f>
        <v/>
      </c>
      <c r="G26" s="8">
        <f>IF(B26="买入",G27+C26,IF(B26="卖出",MAX(0,G27-C26),""))</f>
        <v/>
      </c>
      <c r="H26">
        <f>IF(B26="",H27,IF(B26="买入",H27,IF(B26="卖出",IF(G26=0,0,H27+(D26-F26)*C26-E26),H27)))</f>
        <v/>
      </c>
    </row>
    <row r="27">
      <c r="A27" s="6" t="inlineStr">
        <is>
          <t>2025-12-30</t>
        </is>
      </c>
      <c r="B27" s="7" t="inlineStr">
        <is>
          <t>买入</t>
        </is>
      </c>
      <c r="C27" s="7" t="n">
        <v>0.1086</v>
      </c>
      <c r="D27" s="7" t="n">
        <v>460.3799</v>
      </c>
      <c r="E27" s="7" t="n">
        <v>0</v>
      </c>
      <c r="F27" s="8">
        <f>IF(B27="买入",(C27*D27+E27)/C27,"")</f>
        <v/>
      </c>
      <c r="G27" s="8">
        <f>IF(B27="买入",C27,IF(B27="卖出",-C27,""))</f>
        <v/>
      </c>
      <c r="H27">
        <f>IF(B27="买入",0,IF(B27="卖出",IF(G27=0,0,(D27-F27)*C27-E27),0))</f>
        <v/>
      </c>
    </row>
    <row r="28">
      <c r="A28" s="6" t="n"/>
      <c r="B28" s="7" t="n"/>
      <c r="C28" s="7" t="n"/>
      <c r="D28" s="7" t="n"/>
      <c r="E28" s="7" t="n"/>
      <c r="F28" s="8">
        <f>IF(B28="买入",IF(G29&lt;=0,(C28*D28+E28)/C28,(F29*G29+C28*D28+E28)/(G29+C28)),IF(B28="卖出",IF(G29-C28&lt;=0,F29,(F29*G29-C28*D28+E28)/(G29-C28)),""))</f>
        <v/>
      </c>
      <c r="G28" s="8">
        <f>IF(B28="买入",G29+C28,IF(B28="卖出",MAX(0,G29-C28),""))</f>
        <v/>
      </c>
      <c r="H28">
        <f>IF(B28="",H29,IF(B28="买入",H29,IF(B28="卖出",IF(G28=0,0,H29+(D28-F28)*C28-E28),H29)))</f>
        <v/>
      </c>
    </row>
    <row r="29">
      <c r="A29" s="6" t="n"/>
      <c r="B29" s="7" t="n"/>
      <c r="C29" s="7" t="n"/>
      <c r="D29" s="7" t="n"/>
      <c r="E29" s="7" t="n"/>
      <c r="F29" s="8">
        <f>IF(B29="买入",IF(G30&lt;=0,(C29*D29+E29)/C29,(F30*G30+C29*D29+E29)/(G30+C29)),IF(B29="卖出",IF(G30-C29&lt;=0,F30,(F30*G30-C29*D29+E29)/(G30-C29)),""))</f>
        <v/>
      </c>
      <c r="G29" s="8">
        <f>IF(B29="买入",G30+C29,IF(B29="卖出",MAX(0,G30-C29),""))</f>
        <v/>
      </c>
      <c r="H29">
        <f>IF(B29="",H30,IF(B29="买入",H30,IF(B29="卖出",IF(G29=0,0,H30+(D29-F29)*C29-E29),H30)))</f>
        <v/>
      </c>
    </row>
    <row r="30">
      <c r="A30" s="6" t="n"/>
      <c r="B30" s="7" t="n"/>
      <c r="C30" s="7" t="n"/>
      <c r="D30" s="7" t="n"/>
      <c r="E30" s="7" t="n"/>
      <c r="F30" s="8">
        <f>IF(B30="买入",IF(G31&lt;=0,(C30*D30+E30)/C30,(F31*G31+C30*D30+E30)/(G31+C30)),IF(B30="卖出",IF(G31-C30&lt;=0,F31,(F31*G31-C30*D30+E30)/(G31-C30)),""))</f>
        <v/>
      </c>
      <c r="G30" s="8">
        <f>IF(B30="买入",G31+C30,IF(B30="卖出",MAX(0,G31-C30),""))</f>
        <v/>
      </c>
      <c r="H30">
        <f>IF(B30="",H31,IF(B30="买入",H31,IF(B30="卖出",IF(G30=0,0,H31+(D30-F30)*C30-E30),H31)))</f>
        <v/>
      </c>
    </row>
    <row r="31">
      <c r="A31" s="6" t="n"/>
      <c r="B31" s="7" t="n"/>
      <c r="C31" s="7" t="n"/>
      <c r="D31" s="7" t="n"/>
      <c r="E31" s="7" t="n"/>
      <c r="F31" s="8">
        <f>IF(B31="买入",IF(G32&lt;=0,(C31*D31+E31)/C31,(F32*G32+C31*D31+E31)/(G32+C31)),IF(B31="卖出",IF(G32-C31&lt;=0,F32,(F32*G32-C31*D31+E31)/(G32-C31)),""))</f>
        <v/>
      </c>
      <c r="G31" s="8">
        <f>IF(B31="买入",G32+C31,IF(B31="卖出",MAX(0,G32-C31),""))</f>
        <v/>
      </c>
      <c r="H31">
        <f>IF(B31="",H32,IF(B31="买入",H32,IF(B31="卖出",IF(G31=0,0,H32+(D31-F31)*C31-E31),H32)))</f>
        <v/>
      </c>
    </row>
    <row r="32">
      <c r="A32" s="6" t="n"/>
      <c r="B32" s="7" t="n"/>
      <c r="C32" s="7" t="n"/>
      <c r="D32" s="7" t="n"/>
      <c r="E32" s="7" t="n"/>
      <c r="F32" s="8">
        <f>IF(B32="买入",IF(G33&lt;=0,(C32*D32+E32)/C32,(F33*G33+C32*D32+E32)/(G33+C32)),IF(B32="卖出",IF(G33-C32&lt;=0,F33,(F33*G33-C32*D32+E32)/(G33-C32)),""))</f>
        <v/>
      </c>
      <c r="G32" s="8">
        <f>IF(B32="买入",G33+C32,IF(B32="卖出",MAX(0,G33-C32),""))</f>
        <v/>
      </c>
      <c r="H32">
        <f>IF(B32="",H33,IF(B32="买入",H33,IF(B32="卖出",IF(G32=0,0,H33+(D32-F32)*C32-E32),H33)))</f>
        <v/>
      </c>
    </row>
    <row r="33">
      <c r="A33" s="6" t="n"/>
      <c r="B33" s="7" t="n"/>
      <c r="C33" s="7" t="n"/>
      <c r="D33" s="7" t="n"/>
      <c r="E33" s="7" t="n"/>
      <c r="F33" s="8">
        <f>IF(B33="买入",IF(G34&lt;=0,(C33*D33+E33)/C33,(F34*G34+C33*D33+E33)/(G34+C33)),IF(B33="卖出",IF(G34-C33&lt;=0,F34,(F34*G34-C33*D33+E33)/(G34-C33)),""))</f>
        <v/>
      </c>
      <c r="G33" s="8">
        <f>IF(B33="买入",G34+C33,IF(B33="卖出",MAX(0,G34-C33),""))</f>
        <v/>
      </c>
      <c r="H33">
        <f>IF(B33="",H34,IF(B33="买入",H34,IF(B33="卖出",IF(G33=0,0,H34+(D33-F33)*C33-E33),H34)))</f>
        <v/>
      </c>
    </row>
    <row r="34">
      <c r="A34" s="6" t="n"/>
      <c r="B34" s="7" t="n"/>
      <c r="C34" s="7" t="n"/>
      <c r="D34" s="7" t="n"/>
      <c r="E34" s="7" t="n"/>
      <c r="F34" s="8">
        <f>IF(B34="买入",IF(G35&lt;=0,(C34*D34+E34)/C34,(F35*G35+C34*D34+E34)/(G35+C34)),IF(B34="卖出",IF(G35-C34&lt;=0,F35,(F35*G35-C34*D34+E34)/(G35-C34)),""))</f>
        <v/>
      </c>
      <c r="G34" s="8">
        <f>IF(B34="买入",G35+C34,IF(B34="卖出",MAX(0,G35-C34),""))</f>
        <v/>
      </c>
      <c r="H34">
        <f>IF(B34="",H35,IF(B34="买入",H35,IF(B34="卖出",IF(G34=0,0,H35+(D34-F34)*C34-E34),H35)))</f>
        <v/>
      </c>
    </row>
    <row r="35">
      <c r="A35" s="6" t="n"/>
      <c r="B35" s="7" t="n"/>
      <c r="C35" s="7" t="n"/>
      <c r="D35" s="7" t="n"/>
      <c r="E35" s="7" t="n"/>
      <c r="F35" s="8">
        <f>IF(B35="买入",IF(G36&lt;=0,(C35*D35+E35)/C35,(F36*G36+C35*D35+E35)/(G36+C35)),IF(B35="卖出",IF(G36-C35&lt;=0,F36,(F36*G36-C35*D35+E35)/(G36-C35)),""))</f>
        <v/>
      </c>
      <c r="G35" s="8">
        <f>IF(B35="买入",G36+C35,IF(B35="卖出",MAX(0,G36-C35),""))</f>
        <v/>
      </c>
      <c r="H35">
        <f>IF(B35="",H36,IF(B35="买入",H36,IF(B35="卖出",IF(G35=0,0,H36+(D35-F35)*C35-E35),H36)))</f>
        <v/>
      </c>
    </row>
    <row r="36">
      <c r="A36" s="6" t="n"/>
      <c r="B36" s="7" t="n"/>
      <c r="C36" s="7" t="n"/>
      <c r="D36" s="7" t="n"/>
      <c r="E36" s="7" t="n"/>
      <c r="F36" s="8">
        <f>IF(B36="买入",IF(G37&lt;=0,(C36*D36+E36)/C36,(F37*G37+C36*D36+E36)/(G37+C36)),IF(B36="卖出",IF(G37-C36&lt;=0,F37,(F37*G37-C36*D36+E36)/(G37-C36)),""))</f>
        <v/>
      </c>
      <c r="G36" s="8">
        <f>IF(B36="买入",G37+C36,IF(B36="卖出",MAX(0,G37-C36),""))</f>
        <v/>
      </c>
      <c r="H36">
        <f>IF(B36="",H37,IF(B36="买入",H37,IF(B36="卖出",IF(G36=0,0,H37+(D36-F36)*C36-E36),H37)))</f>
        <v/>
      </c>
    </row>
    <row r="37">
      <c r="A37" s="6" t="n"/>
      <c r="B37" s="7" t="n"/>
      <c r="C37" s="7" t="n"/>
      <c r="D37" s="7" t="n"/>
      <c r="E37" s="7" t="n"/>
      <c r="F37" s="8">
        <f>IF(B37="买入",IF(G38&lt;=0,(C37*D37+E37)/C37,(F38*G38+C37*D37+E37)/(G38+C37)),IF(B37="卖出",IF(G38-C37&lt;=0,F38,(F38*G38-C37*D37+E37)/(G38-C37)),""))</f>
        <v/>
      </c>
      <c r="G37" s="8">
        <f>IF(B37="买入",G38+C37,IF(B37="卖出",MAX(0,G38-C37),""))</f>
        <v/>
      </c>
      <c r="H37">
        <f>IF(B37="",H38,IF(B37="买入",H38,IF(B37="卖出",IF(G37=0,0,H38+(D37-F37)*C37-E37),H38)))</f>
        <v/>
      </c>
    </row>
    <row r="38">
      <c r="A38" s="6" t="n"/>
      <c r="B38" s="7" t="n"/>
      <c r="C38" s="7" t="n"/>
      <c r="D38" s="7" t="n"/>
      <c r="E38" s="7" t="n"/>
      <c r="F38" s="8">
        <f>IF(B38="买入",IF(G39&lt;=0,(C38*D38+E38)/C38,(F39*G39+C38*D38+E38)/(G39+C38)),IF(B38="卖出",IF(G39-C38&lt;=0,F39,(F39*G39-C38*D38+E38)/(G39-C38)),""))</f>
        <v/>
      </c>
      <c r="G38" s="8">
        <f>IF(B38="买入",G39+C38,IF(B38="卖出",MAX(0,G39-C38),""))</f>
        <v/>
      </c>
      <c r="H38">
        <f>IF(B38="",H39,IF(B38="买入",H39,IF(B38="卖出",IF(G38=0,0,H39+(D38-F38)*C38-E38),H39)))</f>
        <v/>
      </c>
    </row>
    <row r="39">
      <c r="A39" s="6" t="n"/>
      <c r="B39" s="7" t="n"/>
      <c r="C39" s="7" t="n"/>
      <c r="D39" s="7" t="n"/>
      <c r="E39" s="7" t="n"/>
      <c r="F39" s="8">
        <f>IF(B39="买入",IF(G40&lt;=0,(C39*D39+E39)/C39,(F40*G40+C39*D39+E39)/(G40+C39)),IF(B39="卖出",IF(G40-C39&lt;=0,F40,(F40*G40-C39*D39+E39)/(G40-C39)),""))</f>
        <v/>
      </c>
      <c r="G39" s="8">
        <f>IF(B39="买入",G40+C39,IF(B39="卖出",MAX(0,G40-C39),""))</f>
        <v/>
      </c>
      <c r="H39">
        <f>IF(B39="",H40,IF(B39="买入",H40,IF(B39="卖出",IF(G39=0,0,H40+(D39-F39)*C39-E39),H40)))</f>
        <v/>
      </c>
    </row>
    <row r="40">
      <c r="A40" s="6" t="n"/>
      <c r="B40" s="7" t="n"/>
      <c r="C40" s="7" t="n"/>
      <c r="D40" s="7" t="n"/>
      <c r="E40" s="7" t="n"/>
      <c r="F40" s="8">
        <f>IF(B40="买入",IF(G41&lt;=0,(C40*D40+E40)/C40,(F41*G41+C40*D40+E40)/(G41+C40)),IF(B40="卖出",IF(G41-C40&lt;=0,F41,(F41*G41-C40*D40+E40)/(G41-C40)),""))</f>
        <v/>
      </c>
      <c r="G40" s="8">
        <f>IF(B40="买入",G41+C40,IF(B40="卖出",MAX(0,G41-C40),""))</f>
        <v/>
      </c>
      <c r="H40">
        <f>IF(B40="",H41,IF(B40="买入",H41,IF(B40="卖出",IF(G40=0,0,H41+(D40-F40)*C40-E40),H41)))</f>
        <v/>
      </c>
    </row>
    <row r="41">
      <c r="A41" s="6" t="n"/>
      <c r="B41" s="7" t="n"/>
      <c r="C41" s="7" t="n"/>
      <c r="D41" s="7" t="n"/>
      <c r="E41" s="7" t="n"/>
      <c r="F41" s="8">
        <f>IF(B41="买入",IF(G42&lt;=0,(C41*D41+E41)/C41,(F42*G42+C41*D41+E41)/(G42+C41)),IF(B41="卖出",IF(G42-C41&lt;=0,F42,(F42*G42-C41*D41+E41)/(G42-C41)),""))</f>
        <v/>
      </c>
      <c r="G41" s="8">
        <f>IF(B41="买入",G42+C41,IF(B41="卖出",MAX(0,G42-C41),""))</f>
        <v/>
      </c>
      <c r="H41">
        <f>IF(B41="",H42,IF(B41="买入",H42,IF(B41="卖出",IF(G41=0,0,H42+(D41-F41)*C41-E41),H42)))</f>
        <v/>
      </c>
    </row>
    <row r="42">
      <c r="A42" s="6" t="n"/>
      <c r="B42" s="7" t="n"/>
      <c r="C42" s="7" t="n"/>
      <c r="D42" s="7" t="n"/>
      <c r="E42" s="7" t="n"/>
      <c r="F42" s="8">
        <f>IF(B42="买入",IF(G43&lt;=0,(C42*D42+E42)/C42,(F43*G43+C42*D42+E42)/(G43+C42)),IF(B42="卖出",IF(G43-C42&lt;=0,F43,(F43*G43-C42*D42+E42)/(G43-C42)),""))</f>
        <v/>
      </c>
      <c r="G42" s="8">
        <f>IF(B42="买入",G43+C42,IF(B42="卖出",MAX(0,G43-C42),""))</f>
        <v/>
      </c>
      <c r="H42">
        <f>IF(B42="",H43,IF(B42="买入",H43,IF(B42="卖出",IF(G42=0,0,H43+(D42-F42)*C42-E42),H43)))</f>
        <v/>
      </c>
    </row>
    <row r="43">
      <c r="A43" s="6" t="n"/>
      <c r="B43" s="7" t="n"/>
      <c r="C43" s="7" t="n"/>
      <c r="D43" s="7" t="n"/>
      <c r="E43" s="7" t="n"/>
      <c r="F43" s="8">
        <f>IF(B43="买入",IF(G44&lt;=0,(C43*D43+E43)/C43,(F44*G44+C43*D43+E43)/(G44+C43)),IF(B43="卖出",IF(G44-C43&lt;=0,F44,(F44*G44-C43*D43+E43)/(G44-C43)),""))</f>
        <v/>
      </c>
      <c r="G43" s="8">
        <f>IF(B43="买入",G44+C43,IF(B43="卖出",MAX(0,G44-C43),""))</f>
        <v/>
      </c>
      <c r="H43">
        <f>IF(B43="",H44,IF(B43="买入",H44,IF(B43="卖出",IF(G43=0,0,H44+(D43-F43)*C43-E43),H44)))</f>
        <v/>
      </c>
    </row>
    <row r="44">
      <c r="A44" s="6" t="n"/>
      <c r="B44" s="7" t="n"/>
      <c r="C44" s="7" t="n"/>
      <c r="D44" s="7" t="n"/>
      <c r="E44" s="7" t="n"/>
      <c r="F44" s="8">
        <f>IF(B44="买入",IF(G45&lt;=0,(C44*D44+E44)/C44,(F45*G45+C44*D44+E44)/(G45+C44)),IF(B44="卖出",IF(G45-C44&lt;=0,F45,(F45*G45-C44*D44+E44)/(G45-C44)),""))</f>
        <v/>
      </c>
      <c r="G44" s="8">
        <f>IF(B44="买入",G45+C44,IF(B44="卖出",MAX(0,G45-C44),""))</f>
        <v/>
      </c>
      <c r="H44">
        <f>IF(B44="",H45,IF(B44="买入",H45,IF(B44="卖出",IF(G44=0,0,H45+(D44-F44)*C44-E44),H45)))</f>
        <v/>
      </c>
    </row>
    <row r="45">
      <c r="A45" s="6" t="n"/>
      <c r="B45" s="7" t="n"/>
      <c r="C45" s="7" t="n"/>
      <c r="D45" s="7" t="n"/>
      <c r="E45" s="7" t="n"/>
      <c r="F45" s="8">
        <f>IF(B45="买入",IF(G46&lt;=0,(C45*D45+E45)/C45,(F46*G46+C45*D45+E45)/(G46+C45)),IF(B45="卖出",IF(G46-C45&lt;=0,F46,(F46*G46-C45*D45+E45)/(G46-C45)),""))</f>
        <v/>
      </c>
      <c r="G45" s="8">
        <f>IF(B45="买入",G46+C45,IF(B45="卖出",MAX(0,G46-C45),""))</f>
        <v/>
      </c>
      <c r="H45">
        <f>IF(B45="",H46,IF(B45="买入",H46,IF(B45="卖出",IF(G45=0,0,H46+(D45-F45)*C45-E45),H46)))</f>
        <v/>
      </c>
    </row>
    <row r="46">
      <c r="A46" s="6" t="n"/>
      <c r="B46" s="7" t="n"/>
      <c r="C46" s="7" t="n"/>
      <c r="D46" s="7" t="n"/>
      <c r="E46" s="7" t="n"/>
      <c r="F46" s="8">
        <f>IF(B46="买入",IF(G47&lt;=0,(C46*D46+E46)/C46,(F47*G47+C46*D46+E46)/(G47+C46)),IF(B46="卖出",IF(G47-C46&lt;=0,F47,(F47*G47-C46*D46+E46)/(G47-C46)),""))</f>
        <v/>
      </c>
      <c r="G46" s="8">
        <f>IF(B46="买入",G47+C46,IF(B46="卖出",MAX(0,G47-C46),""))</f>
        <v/>
      </c>
      <c r="H46">
        <f>IF(B46="",H47,IF(B46="买入",H47,IF(B46="卖出",IF(G46=0,0,H47+(D46-F46)*C46-E46),H47)))</f>
        <v/>
      </c>
    </row>
    <row r="47">
      <c r="A47" s="6" t="n"/>
      <c r="B47" s="7" t="n"/>
      <c r="C47" s="7" t="n"/>
      <c r="D47" s="7" t="n"/>
      <c r="E47" s="7" t="n"/>
      <c r="F47" s="8">
        <f>IF(B47="买入",IF(G48&lt;=0,(C47*D47+E47)/C47,(F48*G48+C47*D47+E47)/(G48+C47)),IF(B47="卖出",IF(G48-C47&lt;=0,F48,(F48*G48-C47*D47+E47)/(G48-C47)),""))</f>
        <v/>
      </c>
      <c r="G47" s="8">
        <f>IF(B47="买入",G48+C47,IF(B47="卖出",MAX(0,G48-C47),""))</f>
        <v/>
      </c>
      <c r="H47">
        <f>IF(B47="",H48,IF(B47="买入",H48,IF(B47="卖出",IF(G47=0,0,H48+(D47-F47)*C47-E47),H48)))</f>
        <v/>
      </c>
    </row>
    <row r="48">
      <c r="A48" s="6" t="n"/>
      <c r="B48" s="7" t="n"/>
      <c r="C48" s="7" t="n"/>
      <c r="D48" s="7" t="n"/>
      <c r="E48" s="7" t="n"/>
      <c r="F48" s="8">
        <f>IF(B48="买入",IF(G49&lt;=0,(C48*D48+E48)/C48,(F49*G49+C48*D48+E48)/(G49+C48)),IF(B48="卖出",IF(G49-C48&lt;=0,F49,(F49*G49-C48*D48+E48)/(G49-C48)),""))</f>
        <v/>
      </c>
      <c r="G48" s="8">
        <f>IF(B48="买入",G49+C48,IF(B48="卖出",MAX(0,G49-C48),""))</f>
        <v/>
      </c>
      <c r="H48">
        <f>IF(B48="",H49,IF(B48="买入",H49,IF(B48="卖出",IF(G48=0,0,H49+(D48-F48)*C48-E48),H49)))</f>
        <v/>
      </c>
    </row>
    <row r="49">
      <c r="A49" s="6" t="n"/>
      <c r="B49" s="7" t="n"/>
      <c r="C49" s="7" t="n"/>
      <c r="D49" s="7" t="n"/>
      <c r="E49" s="7" t="n"/>
      <c r="F49" s="8">
        <f>IF(B49="买入",IF(G50&lt;=0,(C49*D49+E49)/C49,(F50*G50+C49*D49+E49)/(G50+C49)),IF(B49="卖出",IF(G50-C49&lt;=0,F50,(F50*G50-C49*D49+E49)/(G50-C49)),""))</f>
        <v/>
      </c>
      <c r="G49" s="8">
        <f>IF(B49="买入",G50+C49,IF(B49="卖出",MAX(0,G50-C49),""))</f>
        <v/>
      </c>
      <c r="H49">
        <f>IF(B49="",H50,IF(B49="买入",H50,IF(B49="卖出",IF(G49=0,0,H50+(D49-F49)*C49-E49),H50)))</f>
        <v/>
      </c>
    </row>
    <row r="50">
      <c r="A50" s="6" t="n"/>
      <c r="B50" s="7" t="n"/>
      <c r="C50" s="7" t="n"/>
      <c r="D50" s="7" t="n"/>
      <c r="E50" s="7" t="n"/>
      <c r="F50" s="8">
        <f>IF(B50="买入",IF(G51&lt;=0,(C50*D50+E50)/C50,(F51*G51+C50*D50+E50)/(G51+C50)),IF(B50="卖出",IF(G51-C50&lt;=0,F51,(F51*G51-C50*D50+E50)/(G51-C50)),""))</f>
        <v/>
      </c>
      <c r="G50" s="8">
        <f>IF(B50="买入",G51+C50,IF(B50="卖出",MAX(0,G51-C50),""))</f>
        <v/>
      </c>
      <c r="H50">
        <f>IF(B50="",H51,IF(B50="买入",H51,IF(B50="卖出",IF(G50=0,0,H51+(D50-F50)*C50-E50),H51)))</f>
        <v/>
      </c>
    </row>
    <row r="51">
      <c r="A51" s="6" t="n"/>
      <c r="B51" s="7" t="n"/>
      <c r="C51" s="7" t="n"/>
      <c r="D51" s="7" t="n"/>
      <c r="E51" s="7" t="n"/>
      <c r="F51" s="8">
        <f>IF(B51="买入",IF(G52&lt;=0,(C51*D51+E51)/C51,(F52*G52+C51*D51+E51)/(G52+C51)),IF(B51="卖出",IF(G52-C51&lt;=0,F52,(F52*G52-C51*D51+E51)/(G52-C51)),""))</f>
        <v/>
      </c>
      <c r="G51" s="8">
        <f>IF(B51="买入",G52+C51,IF(B51="卖出",MAX(0,G52-C51),""))</f>
        <v/>
      </c>
      <c r="H51">
        <f>IF(B51="",H52,IF(B51="买入",H52,IF(B51="卖出",IF(G51=0,0,H52+(D51-F51)*C51-E51),H52)))</f>
        <v/>
      </c>
    </row>
    <row r="52">
      <c r="A52" s="6" t="n"/>
      <c r="B52" s="7" t="n"/>
      <c r="C52" s="7" t="n"/>
      <c r="D52" s="7" t="n"/>
      <c r="E52" s="7" t="n"/>
      <c r="F52" s="8">
        <f>IF(B52="买入",IF(G53&lt;=0,(C52*D52+E52)/C52,(F53*G53+C52*D52+E52)/(G53+C52)),IF(B52="卖出",IF(G53-C52&lt;=0,F53,(F53*G53-C52*D52+E52)/(G53-C52)),""))</f>
        <v/>
      </c>
      <c r="G52" s="8">
        <f>IF(B52="买入",G53+C52,IF(B52="卖出",MAX(0,G53-C52),""))</f>
        <v/>
      </c>
      <c r="H52">
        <f>IF(B52="",H53,IF(B52="买入",H53,IF(B52="卖出",IF(G52=0,0,H53+(D52-F52)*C52-E52),H53)))</f>
        <v/>
      </c>
    </row>
    <row r="53">
      <c r="A53" s="6" t="n"/>
      <c r="B53" s="7" t="n"/>
      <c r="C53" s="7" t="n"/>
      <c r="D53" s="7" t="n"/>
      <c r="E53" s="7" t="n"/>
      <c r="F53" s="8">
        <f>IF(B53="买入",IF(G54&lt;=0,(C53*D53+E53)/C53,(F54*G54+C53*D53+E53)/(G54+C53)),IF(B53="卖出",IF(G54-C53&lt;=0,F54,(F54*G54-C53*D53+E53)/(G54-C53)),""))</f>
        <v/>
      </c>
      <c r="G53" s="8">
        <f>IF(B53="买入",G54+C53,IF(B53="卖出",MAX(0,G54-C53),""))</f>
        <v/>
      </c>
      <c r="H53">
        <f>IF(B53="",H54,IF(B53="买入",H54,IF(B53="卖出",IF(G53=0,0,H54+(D53-F53)*C53-E53),H54)))</f>
        <v/>
      </c>
    </row>
    <row r="54">
      <c r="A54" s="6" t="n"/>
      <c r="B54" s="7" t="n"/>
      <c r="C54" s="7" t="n"/>
      <c r="D54" s="7" t="n"/>
      <c r="E54" s="7" t="n"/>
      <c r="F54" s="8">
        <f>IF(B54="买入",IF(G55&lt;=0,(C54*D54+E54)/C54,(F55*G55+C54*D54+E54)/(G55+C54)),IF(B54="卖出",IF(G55-C54&lt;=0,F55,(F55*G55-C54*D54+E54)/(G55-C54)),""))</f>
        <v/>
      </c>
      <c r="G54" s="8">
        <f>IF(B54="买入",G55+C54,IF(B54="卖出",MAX(0,G55-C54),""))</f>
        <v/>
      </c>
      <c r="H54">
        <f>IF(B54="",H55,IF(B54="买入",H55,IF(B54="卖出",IF(G54=0,0,H55+(D54-F54)*C54-E54),H55)))</f>
        <v/>
      </c>
    </row>
    <row r="55">
      <c r="A55" s="6" t="n"/>
      <c r="B55" s="7" t="n"/>
      <c r="C55" s="7" t="n"/>
      <c r="D55" s="7" t="n"/>
      <c r="E55" s="7" t="n"/>
      <c r="F55" s="8">
        <f>IF(B55="买入",IF(G56&lt;=0,(C55*D55+E55)/C55,(F56*G56+C55*D55+E55)/(G56+C55)),IF(B55="卖出",IF(G56-C55&lt;=0,F56,(F56*G56-C55*D55+E55)/(G56-C55)),""))</f>
        <v/>
      </c>
      <c r="G55" s="8">
        <f>IF(B55="买入",G56+C55,IF(B55="卖出",MAX(0,G56-C55),""))</f>
        <v/>
      </c>
      <c r="H55">
        <f>IF(B55="",H56,IF(B55="买入",H56,IF(B55="卖出",IF(G55=0,0,H56+(D55-F55)*C55-E55),H56)))</f>
        <v/>
      </c>
    </row>
    <row r="56">
      <c r="A56" s="6" t="n"/>
      <c r="B56" s="7" t="n"/>
      <c r="C56" s="7" t="n"/>
      <c r="D56" s="7" t="n"/>
      <c r="E56" s="7" t="n"/>
      <c r="F56" s="8">
        <f>IF(B56="买入",IF(G57&lt;=0,(C56*D56+E56)/C56,(F57*G57+C56*D56+E56)/(G57+C56)),IF(B56="卖出",IF(G57-C56&lt;=0,F57,(F57*G57-C56*D56+E56)/(G57-C56)),""))</f>
        <v/>
      </c>
      <c r="G56" s="8">
        <f>IF(B56="买入",G57+C56,IF(B56="卖出",MAX(0,G57-C56),""))</f>
        <v/>
      </c>
      <c r="H56">
        <f>IF(B56="",H57,IF(B56="买入",H57,IF(B56="卖出",IF(G56=0,0,H57+(D56-F56)*C56-E56),H57)))</f>
        <v/>
      </c>
    </row>
    <row r="57">
      <c r="A57" s="6" t="n"/>
      <c r="B57" s="7" t="n"/>
      <c r="C57" s="7" t="n"/>
      <c r="D57" s="7" t="n"/>
      <c r="E57" s="7" t="n"/>
      <c r="F57" s="8">
        <f>IF(B57="买入",IF(G58&lt;=0,(C57*D57+E57)/C57,(F58*G58+C57*D57+E57)/(G58+C57)),IF(B57="卖出",IF(G58-C57&lt;=0,F58,(F58*G58-C57*D57+E57)/(G58-C57)),""))</f>
        <v/>
      </c>
      <c r="G57" s="8">
        <f>IF(B57="买入",G58+C57,IF(B57="卖出",MAX(0,G58-C57),""))</f>
        <v/>
      </c>
      <c r="H57">
        <f>IF(B57="",H58,IF(B57="买入",H58,IF(B57="卖出",IF(G57=0,0,H58+(D57-F57)*C57-E57),H58)))</f>
        <v/>
      </c>
    </row>
    <row r="58">
      <c r="A58" s="6" t="n"/>
      <c r="B58" s="7" t="n"/>
      <c r="C58" s="7" t="n"/>
      <c r="D58" s="7" t="n"/>
      <c r="E58" s="7" t="n"/>
      <c r="F58" s="8">
        <f>IF(B58="买入",IF(G59&lt;=0,(C58*D58+E58)/C58,(F59*G59+C58*D58+E58)/(G59+C58)),IF(B58="卖出",IF(G59-C58&lt;=0,F59,(F59*G59-C58*D58+E58)/(G59-C58)),""))</f>
        <v/>
      </c>
      <c r="G58" s="8">
        <f>IF(B58="买入",G59+C58,IF(B58="卖出",MAX(0,G59-C58),""))</f>
        <v/>
      </c>
      <c r="H58">
        <f>IF(B58="",H59,IF(B58="买入",H59,IF(B58="卖出",IF(G58=0,0,H59+(D58-F58)*C58-E58),H59)))</f>
        <v/>
      </c>
    </row>
    <row r="59">
      <c r="A59" s="6" t="n"/>
      <c r="B59" s="7" t="n"/>
      <c r="C59" s="7" t="n"/>
      <c r="D59" s="7" t="n"/>
      <c r="E59" s="7" t="n"/>
      <c r="F59" s="8">
        <f>IF(B59="买入",IF(G60&lt;=0,(C59*D59+E59)/C59,(F60*G60+C59*D59+E59)/(G60+C59)),IF(B59="卖出",IF(G60-C59&lt;=0,F60,(F60*G60-C59*D59+E59)/(G60-C59)),""))</f>
        <v/>
      </c>
      <c r="G59" s="8">
        <f>IF(B59="买入",G60+C59,IF(B59="卖出",MAX(0,G60-C59),""))</f>
        <v/>
      </c>
      <c r="H59">
        <f>IF(B59="",H60,IF(B59="买入",H60,IF(B59="卖出",IF(G59=0,0,H60+(D59-F59)*C59-E59),H60)))</f>
        <v/>
      </c>
    </row>
    <row r="60">
      <c r="A60" s="6" t="n"/>
      <c r="B60" s="7" t="n"/>
      <c r="C60" s="7" t="n"/>
      <c r="D60" s="7" t="n"/>
      <c r="E60" s="7" t="n"/>
      <c r="F60" s="8">
        <f>IF(B60="买入",IF(G61&lt;=0,(C60*D60+E60)/C60,(F61*G61+C60*D60+E60)/(G61+C60)),IF(B60="卖出",IF(G61-C60&lt;=0,F61,(F61*G61-C60*D60+E60)/(G61-C60)),""))</f>
        <v/>
      </c>
      <c r="G60" s="8">
        <f>IF(B60="买入",G61+C60,IF(B60="卖出",MAX(0,G61-C60),""))</f>
        <v/>
      </c>
      <c r="H60">
        <f>IF(B60="",H61,IF(B60="买入",H61,IF(B60="卖出",IF(G60=0,0,H61+(D60-F60)*C60-E60),H61)))</f>
        <v/>
      </c>
    </row>
    <row r="61">
      <c r="A61" s="6" t="n"/>
      <c r="B61" s="7" t="n"/>
      <c r="C61" s="7" t="n"/>
      <c r="D61" s="7" t="n"/>
      <c r="E61" s="7" t="n"/>
      <c r="F61" s="8">
        <f>IF(B61="买入",IF(G62&lt;=0,(C61*D61+E61)/C61,(F62*G62+C61*D61+E61)/(G62+C61)),IF(B61="卖出",IF(G62-C61&lt;=0,F62,(F62*G62-C61*D61+E61)/(G62-C61)),""))</f>
        <v/>
      </c>
      <c r="G61" s="8">
        <f>IF(B61="买入",G62+C61,IF(B61="卖出",MAX(0,G62-C61),""))</f>
        <v/>
      </c>
      <c r="H61">
        <f>IF(B61="",H62,IF(B61="买入",H62,IF(B61="卖出",IF(G61=0,0,H62+(D61-F61)*C61-E61),H62)))</f>
        <v/>
      </c>
    </row>
    <row r="62">
      <c r="A62" s="6" t="n"/>
      <c r="B62" s="7" t="n"/>
      <c r="C62" s="7" t="n"/>
      <c r="D62" s="7" t="n"/>
      <c r="E62" s="7" t="n"/>
      <c r="F62" s="8">
        <f>IF(B62="买入",IF(G63&lt;=0,(C62*D62+E62)/C62,(F63*G63+C62*D62+E62)/(G63+C62)),IF(B62="卖出",IF(G63-C62&lt;=0,F63,(F63*G63-C62*D62+E62)/(G63-C62)),""))</f>
        <v/>
      </c>
      <c r="G62" s="8">
        <f>IF(B62="买入",G63+C62,IF(B62="卖出",MAX(0,G63-C62),""))</f>
        <v/>
      </c>
      <c r="H62">
        <f>IF(B62="",H63,IF(B62="买入",H63,IF(B62="卖出",IF(G62=0,0,H63+(D62-F62)*C62-E62),H63)))</f>
        <v/>
      </c>
    </row>
    <row r="63">
      <c r="A63" s="6" t="n"/>
      <c r="B63" s="7" t="n"/>
      <c r="C63" s="7" t="n"/>
      <c r="D63" s="7" t="n"/>
      <c r="E63" s="7" t="n"/>
      <c r="F63" s="8">
        <f>IF(B63="买入",IF(G64&lt;=0,(C63*D63+E63)/C63,(F64*G64+C63*D63+E63)/(G64+C63)),IF(B63="卖出",IF(G64-C63&lt;=0,F64,(F64*G64-C63*D63+E63)/(G64-C63)),""))</f>
        <v/>
      </c>
      <c r="G63" s="8">
        <f>IF(B63="买入",G64+C63,IF(B63="卖出",MAX(0,G64-C63),""))</f>
        <v/>
      </c>
      <c r="H63">
        <f>IF(B63="",H64,IF(B63="买入",H64,IF(B63="卖出",IF(G63=0,0,H64+(D63-F63)*C63-E63),H64)))</f>
        <v/>
      </c>
    </row>
    <row r="64">
      <c r="A64" s="6" t="n"/>
      <c r="B64" s="7" t="n"/>
      <c r="C64" s="7" t="n"/>
      <c r="D64" s="7" t="n"/>
      <c r="E64" s="7" t="n"/>
      <c r="F64" s="8">
        <f>IF(B64="买入",IF(G65&lt;=0,(C64*D64+E64)/C64,(F65*G65+C64*D64+E64)/(G65+C64)),IF(B64="卖出",IF(G65-C64&lt;=0,F65,(F65*G65-C64*D64+E64)/(G65-C64)),""))</f>
        <v/>
      </c>
      <c r="G64" s="8">
        <f>IF(B64="买入",G65+C64,IF(B64="卖出",MAX(0,G65-C64),""))</f>
        <v/>
      </c>
      <c r="H64">
        <f>IF(B64="",H65,IF(B64="买入",H65,IF(B64="卖出",IF(G64=0,0,H65+(D64-F64)*C64-E64),H65)))</f>
        <v/>
      </c>
    </row>
    <row r="65">
      <c r="A65" s="6" t="n"/>
      <c r="B65" s="7" t="n"/>
      <c r="C65" s="7" t="n"/>
      <c r="D65" s="7" t="n"/>
      <c r="E65" s="7" t="n"/>
      <c r="F65" s="8">
        <f>IF(B65="买入",IF(G66&lt;=0,(C65*D65+E65)/C65,(F66*G66+C65*D65+E65)/(G66+C65)),IF(B65="卖出",IF(G66-C65&lt;=0,F66,(F66*G66-C65*D65+E65)/(G66-C65)),""))</f>
        <v/>
      </c>
      <c r="G65" s="8">
        <f>IF(B65="买入",G66+C65,IF(B65="卖出",MAX(0,G66-C65),""))</f>
        <v/>
      </c>
      <c r="H65">
        <f>IF(B65="",H66,IF(B65="买入",H66,IF(B65="卖出",IF(G65=0,0,H66+(D65-F65)*C65-E65),H66)))</f>
        <v/>
      </c>
    </row>
    <row r="66">
      <c r="A66" s="6" t="n"/>
      <c r="B66" s="7" t="n"/>
      <c r="C66" s="7" t="n"/>
      <c r="D66" s="7" t="n"/>
      <c r="E66" s="7" t="n"/>
      <c r="F66" s="8">
        <f>IF(B66="买入",IF(G67&lt;=0,(C66*D66+E66)/C66,(F67*G67+C66*D66+E66)/(G67+C66)),IF(B66="卖出",IF(G67-C66&lt;=0,F67,(F67*G67-C66*D66+E66)/(G67-C66)),""))</f>
        <v/>
      </c>
      <c r="G66" s="8">
        <f>IF(B66="买入",G67+C66,IF(B66="卖出",MAX(0,G67-C66),""))</f>
        <v/>
      </c>
      <c r="H66">
        <f>IF(B66="",H67,IF(B66="买入",H67,IF(B66="卖出",IF(G66=0,0,H67+(D66-F66)*C66-E66),H67)))</f>
        <v/>
      </c>
    </row>
    <row r="67">
      <c r="A67" s="6" t="n"/>
      <c r="B67" s="7" t="n"/>
      <c r="C67" s="7" t="n"/>
      <c r="D67" s="7" t="n"/>
      <c r="E67" s="7" t="n"/>
      <c r="F67" s="8">
        <f>IF(B67="买入",IF(G68&lt;=0,(C67*D67+E67)/C67,(F68*G68+C67*D67+E67)/(G68+C67)),IF(B67="卖出",IF(G68-C67&lt;=0,F68,(F68*G68-C67*D67+E67)/(G68-C67)),""))</f>
        <v/>
      </c>
      <c r="G67" s="8">
        <f>IF(B67="买入",G68+C67,IF(B67="卖出",MAX(0,G68-C67),""))</f>
        <v/>
      </c>
      <c r="H67">
        <f>IF(B67="",H68,IF(B67="买入",H68,IF(B67="卖出",IF(G67=0,0,H68+(D67-F67)*C67-E67),H68)))</f>
        <v/>
      </c>
    </row>
    <row r="68">
      <c r="A68" s="6" t="n"/>
      <c r="B68" s="7" t="n"/>
      <c r="C68" s="7" t="n"/>
      <c r="D68" s="7" t="n"/>
      <c r="E68" s="7" t="n"/>
      <c r="F68" s="8">
        <f>IF(B68="买入",IF(G69&lt;=0,(C68*D68+E68)/C68,(F69*G69+C68*D68+E68)/(G69+C68)),IF(B68="卖出",IF(G69-C68&lt;=0,F69,(F69*G69-C68*D68+E68)/(G69-C68)),""))</f>
        <v/>
      </c>
      <c r="G68" s="8">
        <f>IF(B68="买入",G69+C68,IF(B68="卖出",MAX(0,G69-C68),""))</f>
        <v/>
      </c>
      <c r="H68">
        <f>IF(B68="",H69,IF(B68="买入",H69,IF(B68="卖出",IF(G68=0,0,H69+(D68-F68)*C68-E68),H69)))</f>
        <v/>
      </c>
    </row>
    <row r="69">
      <c r="A69" s="6" t="n"/>
      <c r="B69" s="7" t="n"/>
      <c r="C69" s="7" t="n"/>
      <c r="D69" s="7" t="n"/>
      <c r="E69" s="7" t="n"/>
      <c r="F69" s="8">
        <f>IF(B69="买入",IF(G70&lt;=0,(C69*D69+E69)/C69,(F70*G70+C69*D69+E69)/(G70+C69)),IF(B69="卖出",IF(G70-C69&lt;=0,F70,(F70*G70-C69*D69+E69)/(G70-C69)),""))</f>
        <v/>
      </c>
      <c r="G69" s="8">
        <f>IF(B69="买入",G70+C69,IF(B69="卖出",MAX(0,G70-C69),""))</f>
        <v/>
      </c>
      <c r="H69">
        <f>IF(B69="",H70,IF(B69="买入",H70,IF(B69="卖出",IF(G69=0,0,H70+(D69-F69)*C69-E69),H70)))</f>
        <v/>
      </c>
    </row>
    <row r="70">
      <c r="A70" s="6" t="n"/>
      <c r="B70" s="7" t="n"/>
      <c r="C70" s="7" t="n"/>
      <c r="D70" s="7" t="n"/>
      <c r="E70" s="7" t="n"/>
      <c r="F70" s="8">
        <f>IF(B70="买入",IF(G71&lt;=0,(C70*D70+E70)/C70,(F71*G71+C70*D70+E70)/(G71+C70)),IF(B70="卖出",IF(G71-C70&lt;=0,F71,(F71*G71-C70*D70+E70)/(G71-C70)),""))</f>
        <v/>
      </c>
      <c r="G70" s="8">
        <f>IF(B70="买入",G71+C70,IF(B70="卖出",MAX(0,G71-C70),""))</f>
        <v/>
      </c>
      <c r="H70">
        <f>IF(B70="",H71,IF(B70="买入",H71,IF(B70="卖出",IF(G70=0,0,H71+(D70-F70)*C70-E70),H71)))</f>
        <v/>
      </c>
    </row>
    <row r="71">
      <c r="A71" s="6" t="n"/>
      <c r="B71" s="7" t="n"/>
      <c r="C71" s="7" t="n"/>
      <c r="D71" s="7" t="n"/>
      <c r="E71" s="7" t="n"/>
      <c r="F71" s="8">
        <f>IF(B71="买入",IF(G72&lt;=0,(C71*D71+E71)/C71,(F72*G72+C71*D71+E71)/(G72+C71)),IF(B71="卖出",IF(G72-C71&lt;=0,F72,(F72*G72-C71*D71+E71)/(G72-C71)),""))</f>
        <v/>
      </c>
      <c r="G71" s="8">
        <f>IF(B71="买入",G72+C71,IF(B71="卖出",MAX(0,G72-C71),""))</f>
        <v/>
      </c>
      <c r="H71">
        <f>IF(B71="",H72,IF(B71="买入",H72,IF(B71="卖出",IF(G71=0,0,H72+(D71-F71)*C71-E71),H72)))</f>
        <v/>
      </c>
    </row>
    <row r="72">
      <c r="A72" s="6" t="n"/>
      <c r="B72" s="7" t="n"/>
      <c r="C72" s="7" t="n"/>
      <c r="D72" s="7" t="n"/>
      <c r="E72" s="7" t="n"/>
      <c r="F72" s="8">
        <f>IF(B72="买入",IF(G73&lt;=0,(C72*D72+E72)/C72,(F73*G73+C72*D72+E72)/(G73+C72)),IF(B72="卖出",IF(G73-C72&lt;=0,F73,(F73*G73-C72*D72+E72)/(G73-C72)),""))</f>
        <v/>
      </c>
      <c r="G72" s="8">
        <f>IF(B72="买入",G73+C72,IF(B72="卖出",MAX(0,G73-C72),""))</f>
        <v/>
      </c>
      <c r="H72">
        <f>IF(B72="",H73,IF(B72="买入",H73,IF(B72="卖出",IF(G72=0,0,H73+(D72-F72)*C72-E72),H73)))</f>
        <v/>
      </c>
    </row>
    <row r="73">
      <c r="A73" s="6" t="n"/>
      <c r="B73" s="7" t="n"/>
      <c r="C73" s="7" t="n"/>
      <c r="D73" s="7" t="n"/>
      <c r="E73" s="7" t="n"/>
      <c r="F73" s="8">
        <f>IF(B73="买入",IF(G74&lt;=0,(C73*D73+E73)/C73,(F74*G74+C73*D73+E73)/(G74+C73)),IF(B73="卖出",IF(G74-C73&lt;=0,F74,(F74*G74-C73*D73+E73)/(G74-C73)),""))</f>
        <v/>
      </c>
      <c r="G73" s="8">
        <f>IF(B73="买入",G74+C73,IF(B73="卖出",MAX(0,G74-C73),""))</f>
        <v/>
      </c>
      <c r="H73">
        <f>IF(B73="",H74,IF(B73="买入",H74,IF(B73="卖出",IF(G73=0,0,H74+(D73-F73)*C73-E73),H74)))</f>
        <v/>
      </c>
    </row>
    <row r="74">
      <c r="A74" s="6" t="n"/>
      <c r="B74" s="7" t="n"/>
      <c r="C74" s="7" t="n"/>
      <c r="D74" s="7" t="n"/>
      <c r="E74" s="7" t="n"/>
      <c r="F74" s="8">
        <f>IF(B74="买入",IF(G75&lt;=0,(C74*D74+E74)/C74,(F75*G75+C74*D74+E74)/(G75+C74)),IF(B74="卖出",IF(G75-C74&lt;=0,F75,(F75*G75-C74*D74+E74)/(G75-C74)),""))</f>
        <v/>
      </c>
      <c r="G74" s="8">
        <f>IF(B74="买入",G75+C74,IF(B74="卖出",MAX(0,G75-C74),""))</f>
        <v/>
      </c>
      <c r="H74">
        <f>IF(B74="",H75,IF(B74="买入",H75,IF(B74="卖出",IF(G74=0,0,H75+(D74-F74)*C74-E74),H75)))</f>
        <v/>
      </c>
    </row>
    <row r="75">
      <c r="A75" s="6" t="n"/>
      <c r="B75" s="7" t="n"/>
      <c r="C75" s="7" t="n"/>
      <c r="D75" s="7" t="n"/>
      <c r="E75" s="7" t="n"/>
      <c r="F75" s="8">
        <f>IF(B75="买入",IF(G76&lt;=0,(C75*D75+E75)/C75,(F76*G76+C75*D75+E75)/(G76+C75)),IF(B75="卖出",IF(G76-C75&lt;=0,F76,(F76*G76-C75*D75+E75)/(G76-C75)),""))</f>
        <v/>
      </c>
      <c r="G75" s="8">
        <f>IF(B75="买入",G76+C75,IF(B75="卖出",MAX(0,G76-C75),""))</f>
        <v/>
      </c>
      <c r="H75">
        <f>IF(B75="",H76,IF(B75="买入",H76,IF(B75="卖出",IF(G75=0,0,H76+(D75-F75)*C75-E75),H76)))</f>
        <v/>
      </c>
    </row>
    <row r="76">
      <c r="A76" s="6" t="n"/>
      <c r="B76" s="7" t="n"/>
      <c r="C76" s="7" t="n"/>
      <c r="D76" s="7" t="n"/>
      <c r="E76" s="7" t="n"/>
      <c r="F76" s="8">
        <f>IF(B76="买入",IF(G77&lt;=0,(C76*D76+E76)/C76,(F77*G77+C76*D76+E76)/(G77+C76)),IF(B76="卖出",IF(G77-C76&lt;=0,F77,(F77*G77-C76*D76+E76)/(G77-C76)),""))</f>
        <v/>
      </c>
      <c r="G76" s="8">
        <f>IF(B76="买入",G77+C76,IF(B76="卖出",MAX(0,G77-C76),""))</f>
        <v/>
      </c>
      <c r="H76">
        <f>IF(B76="",H77,IF(B76="买入",H77,IF(B76="卖出",IF(G76=0,0,H77+(D76-F76)*C76-E76),H77)))</f>
        <v/>
      </c>
    </row>
    <row r="77">
      <c r="A77" s="6" t="n"/>
      <c r="B77" s="7" t="n"/>
      <c r="C77" s="7" t="n"/>
      <c r="D77" s="7" t="n"/>
      <c r="E77" s="7" t="n"/>
      <c r="F77" s="8">
        <f>IF(B77="买入",IF(G78&lt;=0,(C77*D77+E77)/C77,(F78*G78+C77*D77+E77)/(G78+C77)),IF(B77="卖出",IF(G78-C77&lt;=0,F78,(F78*G78-C77*D77+E77)/(G78-C77)),""))</f>
        <v/>
      </c>
      <c r="G77" s="8">
        <f>IF(B77="买入",G78+C77,IF(B77="卖出",MAX(0,G78-C77),""))</f>
        <v/>
      </c>
      <c r="H77">
        <f>IF(B77="",H78,IF(B77="买入",H78,IF(B77="卖出",IF(G77=0,0,H78+(D77-F77)*C77-E77),H78)))</f>
        <v/>
      </c>
    </row>
    <row r="78">
      <c r="A78" s="6" t="n"/>
      <c r="B78" s="7" t="n"/>
      <c r="C78" s="7" t="n"/>
      <c r="D78" s="7" t="n"/>
      <c r="E78" s="7" t="n"/>
      <c r="F78" s="8">
        <f>IF(B78="买入",IF(G79&lt;=0,(C78*D78+E78)/C78,(F79*G79+C78*D78+E78)/(G79+C78)),IF(B78="卖出",IF(G79-C78&lt;=0,F79,(F79*G79-C78*D78+E78)/(G79-C78)),""))</f>
        <v/>
      </c>
      <c r="G78" s="8">
        <f>IF(B78="买入",G79+C78,IF(B78="卖出",MAX(0,G79-C78),""))</f>
        <v/>
      </c>
      <c r="H78">
        <f>IF(B78="",H79,IF(B78="买入",H79,IF(B78="卖出",IF(G78=0,0,H79+(D78-F78)*C78-E78),H79)))</f>
        <v/>
      </c>
    </row>
    <row r="79">
      <c r="A79" s="6" t="n"/>
      <c r="B79" s="7" t="n"/>
      <c r="C79" s="7" t="n"/>
      <c r="D79" s="7" t="n"/>
      <c r="E79" s="7" t="n"/>
      <c r="F79" s="8">
        <f>IF(B79="买入",IF(G80&lt;=0,(C79*D79+E79)/C79,(F80*G80+C79*D79+E79)/(G80+C79)),IF(B79="卖出",IF(G80-C79&lt;=0,F80,(F80*G80-C79*D79+E79)/(G80-C79)),""))</f>
        <v/>
      </c>
      <c r="G79" s="8">
        <f>IF(B79="买入",G80+C79,IF(B79="卖出",MAX(0,G80-C79),""))</f>
        <v/>
      </c>
      <c r="H79">
        <f>IF(B79="",H80,IF(B79="买入",H80,IF(B79="卖出",IF(G79=0,0,H80+(D79-F79)*C79-E79),H80)))</f>
        <v/>
      </c>
    </row>
    <row r="80">
      <c r="A80" s="6" t="n"/>
      <c r="B80" s="7" t="n"/>
      <c r="C80" s="7" t="n"/>
      <c r="D80" s="7" t="n"/>
      <c r="E80" s="7" t="n"/>
      <c r="F80" s="8">
        <f>IF(B80="买入",IF(G81&lt;=0,(C80*D80+E80)/C80,(F81*G81+C80*D80+E80)/(G81+C80)),IF(B80="卖出",IF(G81-C80&lt;=0,F81,(F81*G81-C80*D80+E80)/(G81-C80)),""))</f>
        <v/>
      </c>
      <c r="G80" s="8">
        <f>IF(B80="买入",G81+C80,IF(B80="卖出",MAX(0,G81-C80),""))</f>
        <v/>
      </c>
      <c r="H80">
        <f>IF(B80="",H81,IF(B80="买入",H81,IF(B80="卖出",IF(G80=0,0,H81+(D80-F80)*C80-E80),H81)))</f>
        <v/>
      </c>
    </row>
    <row r="81">
      <c r="A81" s="6" t="n"/>
      <c r="B81" s="7" t="n"/>
      <c r="C81" s="7" t="n"/>
      <c r="D81" s="7" t="n"/>
      <c r="E81" s="7" t="n"/>
      <c r="F81" s="8">
        <f>IF(B81="买入",IF(G82&lt;=0,(C81*D81+E81)/C81,(F82*G82+C81*D81+E81)/(G82+C81)),IF(B81="卖出",IF(G82-C81&lt;=0,F82,(F82*G82-C81*D81+E81)/(G82-C81)),""))</f>
        <v/>
      </c>
      <c r="G81" s="8">
        <f>IF(B81="买入",G82+C81,IF(B81="卖出",MAX(0,G82-C81),""))</f>
        <v/>
      </c>
      <c r="H81">
        <f>IF(B81="",H82,IF(B81="买入",H82,IF(B81="卖出",IF(G81=0,0,H82+(D81-F81)*C81-E81),H82)))</f>
        <v/>
      </c>
    </row>
    <row r="82">
      <c r="A82" s="6" t="n"/>
      <c r="B82" s="7" t="n"/>
      <c r="C82" s="7" t="n"/>
      <c r="D82" s="7" t="n"/>
      <c r="E82" s="7" t="n"/>
      <c r="F82" s="8">
        <f>IF(B82="买入",IF(G83&lt;=0,(C82*D82+E82)/C82,(F83*G83+C82*D82+E82)/(G83+C82)),IF(B82="卖出",IF(G83-C82&lt;=0,F83,(F83*G83-C82*D82+E82)/(G83-C82)),""))</f>
        <v/>
      </c>
      <c r="G82" s="8">
        <f>IF(B82="买入",G83+C82,IF(B82="卖出",MAX(0,G83-C82),""))</f>
        <v/>
      </c>
      <c r="H82">
        <f>IF(B82="",H83,IF(B82="买入",H83,IF(B82="卖出",IF(G82=0,0,H83+(D82-F82)*C82-E82),H83)))</f>
        <v/>
      </c>
    </row>
    <row r="83">
      <c r="A83" s="6" t="n"/>
      <c r="B83" s="7" t="n"/>
      <c r="C83" s="7" t="n"/>
      <c r="D83" s="7" t="n"/>
      <c r="E83" s="7" t="n"/>
      <c r="F83" s="8">
        <f>IF(B83="买入",IF(G84&lt;=0,(C83*D83+E83)/C83,(F84*G84+C83*D83+E83)/(G84+C83)),IF(B83="卖出",IF(G84-C83&lt;=0,F84,(F84*G84-C83*D83+E83)/(G84-C83)),""))</f>
        <v/>
      </c>
      <c r="G83" s="8">
        <f>IF(B83="买入",G84+C83,IF(B83="卖出",MAX(0,G84-C83),""))</f>
        <v/>
      </c>
      <c r="H83">
        <f>IF(B83="",H84,IF(B83="买入",H84,IF(B83="卖出",IF(G83=0,0,H84+(D83-F83)*C83-E83),H84)))</f>
        <v/>
      </c>
    </row>
    <row r="84">
      <c r="A84" s="6" t="n"/>
      <c r="B84" s="7" t="n"/>
      <c r="C84" s="7" t="n"/>
      <c r="D84" s="7" t="n"/>
      <c r="E84" s="7" t="n"/>
      <c r="F84" s="8">
        <f>IF(B84="买入",IF(G85&lt;=0,(C84*D84+E84)/C84,(F85*G85+C84*D84+E84)/(G85+C84)),IF(B84="卖出",IF(G85-C84&lt;=0,F85,(F85*G85-C84*D84+E84)/(G85-C84)),""))</f>
        <v/>
      </c>
      <c r="G84" s="8">
        <f>IF(B84="买入",G85+C84,IF(B84="卖出",MAX(0,G85-C84),""))</f>
        <v/>
      </c>
      <c r="H84">
        <f>IF(B84="",H85,IF(B84="买入",H85,IF(B84="卖出",IF(G84=0,0,H85+(D84-F84)*C84-E84),H85)))</f>
        <v/>
      </c>
    </row>
    <row r="85">
      <c r="A85" s="6" t="n"/>
      <c r="B85" s="7" t="n"/>
      <c r="C85" s="7" t="n"/>
      <c r="D85" s="7" t="n"/>
      <c r="E85" s="7" t="n"/>
      <c r="F85" s="8">
        <f>IF(B85="买入",IF(G86&lt;=0,(C85*D85+E85)/C85,(F86*G86+C85*D85+E85)/(G86+C85)),IF(B85="卖出",IF(G86-C85&lt;=0,F86,(F86*G86-C85*D85+E85)/(G86-C85)),""))</f>
        <v/>
      </c>
      <c r="G85" s="8">
        <f>IF(B85="买入",G86+C85,IF(B85="卖出",MAX(0,G86-C85),""))</f>
        <v/>
      </c>
      <c r="H85">
        <f>IF(B85="",H86,IF(B85="买入",H86,IF(B85="卖出",IF(G85=0,0,H86+(D85-F85)*C85-E85),H86)))</f>
        <v/>
      </c>
    </row>
    <row r="86">
      <c r="A86" s="6" t="n"/>
      <c r="B86" s="7" t="n"/>
      <c r="C86" s="7" t="n"/>
      <c r="D86" s="7" t="n"/>
      <c r="E86" s="7" t="n"/>
      <c r="F86" s="8">
        <f>IF(B86="买入",IF(G87&lt;=0,(C86*D86+E86)/C86,(F87*G87+C86*D86+E86)/(G87+C86)),IF(B86="卖出",IF(G87-C86&lt;=0,F87,(F87*G87-C86*D86+E86)/(G87-C86)),""))</f>
        <v/>
      </c>
      <c r="G86" s="8">
        <f>IF(B86="买入",G87+C86,IF(B86="卖出",MAX(0,G87-C86),""))</f>
        <v/>
      </c>
      <c r="H86">
        <f>IF(B86="",H87,IF(B86="买入",H87,IF(B86="卖出",IF(G86=0,0,H87+(D86-F86)*C86-E86),H87)))</f>
        <v/>
      </c>
    </row>
    <row r="87">
      <c r="A87" s="6" t="n"/>
      <c r="B87" s="7" t="n"/>
      <c r="C87" s="7" t="n"/>
      <c r="D87" s="7" t="n"/>
      <c r="E87" s="7" t="n"/>
      <c r="F87" s="8">
        <f>IF(B87="买入",IF(G88&lt;=0,(C87*D87+E87)/C87,(F88*G88+C87*D87+E87)/(G88+C87)),IF(B87="卖出",IF(G88-C87&lt;=0,F88,(F88*G88-C87*D87+E87)/(G88-C87)),""))</f>
        <v/>
      </c>
      <c r="G87" s="8">
        <f>IF(B87="买入",G88+C87,IF(B87="卖出",MAX(0,G88-C87),""))</f>
        <v/>
      </c>
      <c r="H87">
        <f>IF(B87="",H88,IF(B87="买入",H88,IF(B87="卖出",IF(G87=0,0,H88+(D87-F87)*C87-E87),H88)))</f>
        <v/>
      </c>
    </row>
    <row r="88">
      <c r="A88" s="6" t="n"/>
      <c r="B88" s="7" t="n"/>
      <c r="C88" s="7" t="n"/>
      <c r="D88" s="7" t="n"/>
      <c r="E88" s="7" t="n"/>
      <c r="F88" s="8">
        <f>IF(B88="买入",IF(G89&lt;=0,(C88*D88+E88)/C88,(F89*G89+C88*D88+E88)/(G89+C88)),IF(B88="卖出",IF(G89-C88&lt;=0,F89,(F89*G89-C88*D88+E88)/(G89-C88)),""))</f>
        <v/>
      </c>
      <c r="G88" s="8">
        <f>IF(B88="买入",G89+C88,IF(B88="卖出",MAX(0,G89-C88),""))</f>
        <v/>
      </c>
      <c r="H88">
        <f>IF(B88="",H89,IF(B88="买入",H89,IF(B88="卖出",IF(G88=0,0,H89+(D88-F88)*C88-E88),H89)))</f>
        <v/>
      </c>
    </row>
    <row r="89">
      <c r="A89" s="6" t="n"/>
      <c r="B89" s="7" t="n"/>
      <c r="C89" s="7" t="n"/>
      <c r="D89" s="7" t="n"/>
      <c r="E89" s="7" t="n"/>
      <c r="F89" s="8">
        <f>IF(B89="买入",IF(G90&lt;=0,(C89*D89+E89)/C89,(F90*G90+C89*D89+E89)/(G90+C89)),IF(B89="卖出",IF(G90-C89&lt;=0,F90,(F90*G90-C89*D89+E89)/(G90-C89)),""))</f>
        <v/>
      </c>
      <c r="G89" s="8">
        <f>IF(B89="买入",G90+C89,IF(B89="卖出",MAX(0,G90-C89),""))</f>
        <v/>
      </c>
      <c r="H89">
        <f>IF(B89="",H90,IF(B89="买入",H90,IF(B89="卖出",IF(G89=0,0,H90+(D89-F89)*C89-E89),H90)))</f>
        <v/>
      </c>
    </row>
    <row r="90">
      <c r="A90" s="6" t="n"/>
      <c r="B90" s="7" t="n"/>
      <c r="C90" s="7" t="n"/>
      <c r="D90" s="7" t="n"/>
      <c r="E90" s="7" t="n"/>
      <c r="F90" s="8">
        <f>IF(B90="买入",IF(G91&lt;=0,(C90*D90+E90)/C90,(F91*G91+C90*D90+E90)/(G91+C90)),IF(B90="卖出",IF(G91-C90&lt;=0,F91,(F91*G91-C90*D90+E90)/(G91-C90)),""))</f>
        <v/>
      </c>
      <c r="G90" s="8">
        <f>IF(B90="买入",G91+C90,IF(B90="卖出",MAX(0,G91-C90),""))</f>
        <v/>
      </c>
      <c r="H90">
        <f>IF(B90="",H91,IF(B90="买入",H91,IF(B90="卖出",IF(G90=0,0,H91+(D90-F90)*C90-E90),H91)))</f>
        <v/>
      </c>
    </row>
    <row r="91">
      <c r="A91" s="6" t="n"/>
      <c r="B91" s="7" t="n"/>
      <c r="C91" s="7" t="n"/>
      <c r="D91" s="7" t="n"/>
      <c r="E91" s="7" t="n"/>
      <c r="F91" s="8">
        <f>IF(B91="买入",IF(G92&lt;=0,(C91*D91+E91)/C91,(F92*G92+C91*D91+E91)/(G92+C91)),IF(B91="卖出",IF(G92-C91&lt;=0,F92,(F92*G92-C91*D91+E91)/(G92-C91)),""))</f>
        <v/>
      </c>
      <c r="G91" s="8">
        <f>IF(B91="买入",G92+C91,IF(B91="卖出",MAX(0,G92-C91),""))</f>
        <v/>
      </c>
      <c r="H91">
        <f>IF(B91="",H92,IF(B91="买入",H92,IF(B91="卖出",IF(G91=0,0,H92+(D91-F91)*C91-E91),H92)))</f>
        <v/>
      </c>
    </row>
    <row r="92">
      <c r="A92" s="6" t="n"/>
      <c r="B92" s="7" t="n"/>
      <c r="C92" s="7" t="n"/>
      <c r="D92" s="7" t="n"/>
      <c r="E92" s="7" t="n"/>
      <c r="F92" s="8">
        <f>IF(B92="买入",IF(G93&lt;=0,(C92*D92+E92)/C92,(F93*G93+C92*D92+E92)/(G93+C92)),IF(B92="卖出",IF(G93-C92&lt;=0,F93,(F93*G93-C92*D92+E92)/(G93-C92)),""))</f>
        <v/>
      </c>
      <c r="G92" s="8">
        <f>IF(B92="买入",G93+C92,IF(B92="卖出",MAX(0,G93-C92),""))</f>
        <v/>
      </c>
      <c r="H92">
        <f>IF(B92="",H93,IF(B92="买入",H93,IF(B92="卖出",IF(G92=0,0,H93+(D92-F92)*C92-E92),H93)))</f>
        <v/>
      </c>
    </row>
    <row r="93">
      <c r="A93" s="6" t="n"/>
      <c r="B93" s="7" t="n"/>
      <c r="C93" s="7" t="n"/>
      <c r="D93" s="7" t="n"/>
      <c r="E93" s="7" t="n"/>
      <c r="F93" s="8">
        <f>IF(B93="买入",IF(G94&lt;=0,(C93*D93+E93)/C93,(F94*G94+C93*D93+E93)/(G94+C93)),IF(B93="卖出",IF(G94-C93&lt;=0,F94,(F94*G94-C93*D93+E93)/(G94-C93)),""))</f>
        <v/>
      </c>
      <c r="G93" s="8">
        <f>IF(B93="买入",G94+C93,IF(B93="卖出",MAX(0,G94-C93),""))</f>
        <v/>
      </c>
      <c r="H93">
        <f>IF(B93="",H94,IF(B93="买入",H94,IF(B93="卖出",IF(G93=0,0,H94+(D93-F93)*C93-E93),H94)))</f>
        <v/>
      </c>
    </row>
    <row r="94">
      <c r="A94" s="6" t="n"/>
      <c r="B94" s="7" t="n"/>
      <c r="C94" s="7" t="n"/>
      <c r="D94" s="7" t="n"/>
      <c r="E94" s="7" t="n"/>
      <c r="F94" s="8">
        <f>IF(B94="买入",IF(G95&lt;=0,(C94*D94+E94)/C94,(F95*G95+C94*D94+E94)/(G95+C94)),IF(B94="卖出",IF(G95-C94&lt;=0,F95,(F95*G95-C94*D94+E94)/(G95-C94)),""))</f>
        <v/>
      </c>
      <c r="G94" s="8">
        <f>IF(B94="买入",G95+C94,IF(B94="卖出",MAX(0,G95-C94),""))</f>
        <v/>
      </c>
      <c r="H94">
        <f>IF(B94="",H95,IF(B94="买入",H95,IF(B94="卖出",IF(G94=0,0,H95+(D94-F94)*C94-E94),H95)))</f>
        <v/>
      </c>
    </row>
    <row r="95">
      <c r="A95" s="6" t="n"/>
      <c r="B95" s="7" t="n"/>
      <c r="C95" s="7" t="n"/>
      <c r="D95" s="7" t="n"/>
      <c r="E95" s="7" t="n"/>
      <c r="F95" s="8">
        <f>IF(B95="买入",IF(G96&lt;=0,(C95*D95+E95)/C95,(F96*G96+C95*D95+E95)/(G96+C95)),IF(B95="卖出",IF(G96-C95&lt;=0,F96,(F96*G96-C95*D95+E95)/(G96-C95)),""))</f>
        <v/>
      </c>
      <c r="G95" s="8">
        <f>IF(B95="买入",G96+C95,IF(B95="卖出",MAX(0,G96-C95),""))</f>
        <v/>
      </c>
      <c r="H95">
        <f>IF(B95="",H96,IF(B95="买入",H96,IF(B95="卖出",IF(G95=0,0,H96+(D95-F95)*C95-E95),H96)))</f>
        <v/>
      </c>
    </row>
    <row r="96">
      <c r="A96" s="6" t="n"/>
      <c r="B96" s="7" t="n"/>
      <c r="C96" s="7" t="n"/>
      <c r="D96" s="7" t="n"/>
      <c r="E96" s="7" t="n"/>
      <c r="F96" s="8">
        <f>IF(B96="买入",IF(G97&lt;=0,(C96*D96+E96)/C96,(F97*G97+C96*D96+E96)/(G97+C96)),IF(B96="卖出",IF(G97-C96&lt;=0,F97,(F97*G97-C96*D96+E96)/(G97-C96)),""))</f>
        <v/>
      </c>
      <c r="G96" s="8">
        <f>IF(B96="买入",G97+C96,IF(B96="卖出",MAX(0,G97-C96),""))</f>
        <v/>
      </c>
      <c r="H96">
        <f>IF(B96="",H97,IF(B96="买入",H97,IF(B96="卖出",IF(G96=0,0,H97+(D96-F96)*C96-E96),H97)))</f>
        <v/>
      </c>
    </row>
    <row r="97">
      <c r="A97" s="6" t="n"/>
      <c r="B97" s="7" t="n"/>
      <c r="C97" s="7" t="n"/>
      <c r="D97" s="7" t="n"/>
      <c r="E97" s="7" t="n"/>
      <c r="F97" s="8">
        <f>IF(B97="买入",IF(G98&lt;=0,(C97*D97+E97)/C97,(F98*G98+C97*D97+E97)/(G98+C97)),IF(B97="卖出",IF(G98-C97&lt;=0,F98,(F98*G98-C97*D97+E97)/(G98-C97)),""))</f>
        <v/>
      </c>
      <c r="G97" s="8">
        <f>IF(B97="买入",G98+C97,IF(B97="卖出",MAX(0,G98-C97),""))</f>
        <v/>
      </c>
      <c r="H97">
        <f>IF(B97="",H98,IF(B97="买入",H98,IF(B97="卖出",IF(G97=0,0,H98+(D97-F97)*C97-E97),H98)))</f>
        <v/>
      </c>
    </row>
    <row r="98">
      <c r="A98" s="6" t="n"/>
      <c r="B98" s="7" t="n"/>
      <c r="C98" s="7" t="n"/>
      <c r="D98" s="7" t="n"/>
      <c r="E98" s="7" t="n"/>
      <c r="F98" s="8">
        <f>IF(B98="买入",IF(G99&lt;=0,(C98*D98+E98)/C98,(F99*G99+C98*D98+E98)/(G99+C98)),IF(B98="卖出",IF(G99-C98&lt;=0,F99,(F99*G99-C98*D98+E98)/(G99-C98)),""))</f>
        <v/>
      </c>
      <c r="G98" s="8">
        <f>IF(B98="买入",G99+C98,IF(B98="卖出",MAX(0,G99-C98),""))</f>
        <v/>
      </c>
      <c r="H98">
        <f>IF(B98="",H99,IF(B98="买入",H99,IF(B98="卖出",IF(G98=0,0,H99+(D98-F98)*C98-E98),H99)))</f>
        <v/>
      </c>
    </row>
    <row r="99">
      <c r="A99" s="6" t="n"/>
      <c r="B99" s="7" t="n"/>
      <c r="C99" s="7" t="n"/>
      <c r="D99" s="7" t="n"/>
      <c r="E99" s="7" t="n"/>
      <c r="F99" s="8">
        <f>IF(B99="买入",IF(G100&lt;=0,(C99*D99+E99)/C99,(F100*G100+C99*D99+E99)/(G100+C99)),IF(B99="卖出",IF(G100-C99&lt;=0,F100,(F100*G100-C99*D99+E99)/(G100-C99)),""))</f>
        <v/>
      </c>
      <c r="G99" s="8">
        <f>IF(B99="买入",G100+C99,IF(B99="卖出",MAX(0,G100-C99),""))</f>
        <v/>
      </c>
      <c r="H99">
        <f>IF(B99="",H100,IF(B99="买入",H100,IF(B99="卖出",IF(G99=0,0,H100+(D99-F99)*C99-E99),H100)))</f>
        <v/>
      </c>
    </row>
    <row r="100">
      <c r="A100" s="6" t="n"/>
      <c r="B100" s="7" t="n"/>
      <c r="C100" s="7" t="n"/>
      <c r="D100" s="7" t="n"/>
      <c r="E100" s="7" t="n"/>
      <c r="F100" s="8">
        <f>IF(B100="买入",IF(G101&lt;=0,(C100*D100+E100)/C100,(F101*G101+C100*D100+E100)/(G101+C100)),IF(B100="卖出",IF(G101-C100&lt;=0,F101,(F101*G101-C100*D100+E100)/(G101-C100)),""))</f>
        <v/>
      </c>
      <c r="G100" s="8">
        <f>IF(B100="买入",G101+C100,IF(B100="卖出",MAX(0,G101-C100),""))</f>
        <v/>
      </c>
      <c r="H100">
        <f>IF(B100="",H101,IF(B100="买入",H101,IF(B100="卖出",IF(G100=0,0,H101+(D100-F100)*C100-E100),H101)))</f>
        <v/>
      </c>
    </row>
    <row r="101">
      <c r="A101" s="6" t="n"/>
      <c r="B101" s="7" t="n"/>
      <c r="C101" s="7" t="n"/>
      <c r="D101" s="7" t="n"/>
      <c r="E101" s="7" t="n"/>
      <c r="F101" s="8">
        <f>IF(B101="买入",IF(G102&lt;=0,(C101*D101+E101)/C101,(F102*G102+C101*D101+E101)/(G102+C101)),IF(B101="卖出",IF(G102-C101&lt;=0,F102,(F102*G102-C101*D101+E101)/(G102-C101)),""))</f>
        <v/>
      </c>
      <c r="G101" s="8">
        <f>IF(B101="买入",G102+C101,IF(B101="卖出",MAX(0,G102-C101),""))</f>
        <v/>
      </c>
      <c r="H101">
        <f>IF(B101="",0,IF(B101="买入",0,IF(B101="卖出",IF(G101=0,0,(D101-F101)*C101-E101),0)))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5">
    <mergeCell ref="A1:G1"/>
    <mergeCell ref="A3:G3"/>
    <mergeCell ref="A4:G4"/>
    <mergeCell ref="A2:G2"/>
    <mergeCell ref="A5:G5"/>
  </mergeCells>
  <conditionalFormatting sqref="A7:G101">
    <cfRule type="expression" priority="1" dxfId="0">
      <formula>COUNTA($A7:$E7)&gt;0</formula>
    </cfRule>
  </conditionalFormatting>
  <conditionalFormatting sqref="B7:B101">
    <cfRule type="expression" priority="2" dxfId="1">
      <formula>B7="买入"</formula>
    </cfRule>
    <cfRule type="expression" priority="3" dxfId="2">
      <formula>B7="卖出"</formula>
    </cfRule>
  </conditionalFormatting>
  <dataValidations count="1">
    <dataValidation sqref="B7:B101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2" customWidth="1" min="4" max="4"/>
    <col width="10" customWidth="1" min="5" max="5"/>
    <col width="14" customWidth="1" min="6" max="6"/>
    <col width="10" customWidth="1" min="7" max="7"/>
    <col hidden="1" width="13" customWidth="1" min="8" max="8"/>
  </cols>
  <sheetData>
    <row r="1" ht="30" customHeight="1">
      <c r="A1" s="1">
        <f>"📈 " &amp; MID(CELL("filename",A1),FIND("]",CELL("filename",A1))+1,100) &amp; " 持仓成本记录"</f>
        <v/>
      </c>
    </row>
    <row r="2" ht="12" customHeight="1">
      <c r="A2" s="2" t="inlineStr">
        <is>
          <t>--------------------------------------------------------------------------------</t>
        </is>
      </c>
    </row>
    <row r="3" ht="20" customHeight="1">
      <c r="A3" s="3" t="inlineStr">
        <is>
          <t>🟢 买入成本 = (原成本×原股数 + 买入金额 + 手续费) ÷ (原股数 + 买入股数)  |  🔴 卖出时成本不变，清仓后重新买入按新买入价计算</t>
        </is>
      </c>
    </row>
    <row r="4" ht="12" customHeight="1">
      <c r="A4" s="2" t="inlineStr">
        <is>
          <t>--------------------------------------------------------------------------------</t>
        </is>
      </c>
    </row>
    <row r="5" ht="22" customHeight="1">
      <c r="A5" s="4">
        <f>IF(COUNTA(B7:B101)=0,"","⚖️ 盈亏平衡点: $"&amp;TEXT(F7-IFERROR(H7/G7,0),"#,##0.00")&amp;"  (差价: $"&amp;TEXT(-IFERROR(H7/G7,0),"#,##0.00")&amp;")")</f>
        <v/>
      </c>
    </row>
    <row r="6" ht="22" customHeight="1">
      <c r="A6" s="5" t="inlineStr">
        <is>
          <t>日期</t>
        </is>
      </c>
      <c r="B6" s="5" t="inlineStr">
        <is>
          <t>操作</t>
        </is>
      </c>
      <c r="C6" s="5" t="inlineStr">
        <is>
          <t>数量</t>
        </is>
      </c>
      <c r="D6" s="5" t="inlineStr">
        <is>
          <t>价格</t>
        </is>
      </c>
      <c r="E6" s="5" t="inlineStr">
        <is>
          <t>手续费</t>
        </is>
      </c>
      <c r="F6" s="5" t="inlineStr">
        <is>
          <t>持仓成本</t>
        </is>
      </c>
      <c r="G6" s="5" t="inlineStr">
        <is>
          <t>累计持仓</t>
        </is>
      </c>
    </row>
    <row r="7">
      <c r="A7" s="6" t="inlineStr">
        <is>
          <t>2026-06-03</t>
        </is>
      </c>
      <c r="B7" s="7" t="inlineStr">
        <is>
          <t>买入</t>
        </is>
      </c>
      <c r="C7" s="7" t="n">
        <v>2</v>
      </c>
      <c r="D7" s="7" t="n">
        <v>341</v>
      </c>
      <c r="E7" s="7" t="n">
        <v>0</v>
      </c>
      <c r="F7" s="8">
        <f>IF(B7="买入",(C7*D7+E7)/C7,"")</f>
        <v/>
      </c>
      <c r="G7" s="8">
        <f>IF(B7="买入",C7,IF(B7="卖出",-C7,""))</f>
        <v/>
      </c>
      <c r="H7">
        <f>IF(B7="买入",0,IF(B7="卖出",IF(G7=0,0,(D7-F7)*C7-E7),0))</f>
        <v/>
      </c>
    </row>
    <row r="8">
      <c r="A8" s="6" t="n"/>
      <c r="B8" s="7" t="n"/>
      <c r="C8" s="7" t="n"/>
      <c r="D8" s="7" t="n"/>
      <c r="E8" s="7" t="n"/>
      <c r="F8" s="8">
        <f>IF(B8="买入",IF(G9&lt;=0,(C8*D8+E8)/C8,(F9*G9+C8*D8+E8)/(G9+C8)),IF(B8="卖出",IF(G9-C8&lt;=0,F9,(F9*G9-C8*D8+E8)/(G9-C8)),""))</f>
        <v/>
      </c>
      <c r="G8" s="8">
        <f>IF(B8="买入",G9+C8,IF(B8="卖出",MAX(0,G9-C8),""))</f>
        <v/>
      </c>
      <c r="H8">
        <f>IF(B8="",H9,IF(B8="买入",H9,IF(B8="卖出",IF(G8=0,0,H9+(D8-F8)*C8-E8),H9)))</f>
        <v/>
      </c>
    </row>
    <row r="9">
      <c r="A9" s="6" t="n"/>
      <c r="B9" s="7" t="n"/>
      <c r="C9" s="7" t="n"/>
      <c r="D9" s="7" t="n"/>
      <c r="E9" s="7" t="n"/>
      <c r="F9" s="8">
        <f>IF(B9="买入",IF(G10&lt;=0,(C9*D9+E9)/C9,(F10*G10+C9*D9+E9)/(G10+C9)),IF(B9="卖出",IF(G10-C9&lt;=0,F10,(F10*G10-C9*D9+E9)/(G10-C9)),""))</f>
        <v/>
      </c>
      <c r="G9" s="8">
        <f>IF(B9="买入",G10+C9,IF(B9="卖出",MAX(0,G10-C9),""))</f>
        <v/>
      </c>
      <c r="H9">
        <f>IF(B9="",H10,IF(B9="买入",H10,IF(B9="卖出",IF(G9=0,0,H10+(D9-F9)*C9-E9),H10)))</f>
        <v/>
      </c>
    </row>
    <row r="10">
      <c r="A10" s="6" t="n"/>
      <c r="B10" s="7" t="n"/>
      <c r="C10" s="7" t="n"/>
      <c r="D10" s="7" t="n"/>
      <c r="E10" s="7" t="n"/>
      <c r="F10" s="8">
        <f>IF(B10="买入",IF(G11&lt;=0,(C10*D10+E10)/C10,(F11*G11+C10*D10+E10)/(G11+C10)),IF(B10="卖出",IF(G11-C10&lt;=0,F11,(F11*G11-C10*D10+E10)/(G11-C10)),""))</f>
        <v/>
      </c>
      <c r="G10" s="8">
        <f>IF(B10="买入",G11+C10,IF(B10="卖出",MAX(0,G11-C10),""))</f>
        <v/>
      </c>
      <c r="H10">
        <f>IF(B10="",H11,IF(B10="买入",H11,IF(B10="卖出",IF(G10=0,0,H11+(D10-F10)*C10-E10),H11)))</f>
        <v/>
      </c>
    </row>
    <row r="11">
      <c r="A11" s="6" t="n"/>
      <c r="B11" s="7" t="n"/>
      <c r="C11" s="7" t="n"/>
      <c r="D11" s="7" t="n"/>
      <c r="E11" s="7" t="n"/>
      <c r="F11" s="8">
        <f>IF(B11="买入",IF(G12&lt;=0,(C11*D11+E11)/C11,(F12*G12+C11*D11+E11)/(G12+C11)),IF(B11="卖出",IF(G12-C11&lt;=0,F12,(F12*G12-C11*D11+E11)/(G12-C11)),""))</f>
        <v/>
      </c>
      <c r="G11" s="8">
        <f>IF(B11="买入",G12+C11,IF(B11="卖出",MAX(0,G12-C11),""))</f>
        <v/>
      </c>
      <c r="H11">
        <f>IF(B11="",H12,IF(B11="买入",H12,IF(B11="卖出",IF(G11=0,0,H12+(D11-F11)*C11-E11),H12)))</f>
        <v/>
      </c>
    </row>
    <row r="12">
      <c r="A12" s="6" t="n"/>
      <c r="B12" s="7" t="n"/>
      <c r="C12" s="7" t="n"/>
      <c r="D12" s="7" t="n"/>
      <c r="E12" s="7" t="n"/>
      <c r="F12" s="8">
        <f>IF(B12="买入",IF(G13&lt;=0,(C12*D12+E12)/C12,(F13*G13+C12*D12+E12)/(G13+C12)),IF(B12="卖出",IF(G13-C12&lt;=0,F13,(F13*G13-C12*D12+E12)/(G13-C12)),""))</f>
        <v/>
      </c>
      <c r="G12" s="8">
        <f>IF(B12="买入",G13+C12,IF(B12="卖出",MAX(0,G13-C12),""))</f>
        <v/>
      </c>
      <c r="H12">
        <f>IF(B12="",H13,IF(B12="买入",H13,IF(B12="卖出",IF(G12=0,0,H13+(D12-F12)*C12-E12),H13)))</f>
        <v/>
      </c>
    </row>
    <row r="13">
      <c r="A13" s="6" t="n"/>
      <c r="B13" s="7" t="n"/>
      <c r="C13" s="7" t="n"/>
      <c r="D13" s="7" t="n"/>
      <c r="E13" s="7" t="n"/>
      <c r="F13" s="8">
        <f>IF(B13="买入",IF(G14&lt;=0,(C13*D13+E13)/C13,(F14*G14+C13*D13+E13)/(G14+C13)),IF(B13="卖出",IF(G14-C13&lt;=0,F14,(F14*G14-C13*D13+E13)/(G14-C13)),""))</f>
        <v/>
      </c>
      <c r="G13" s="8">
        <f>IF(B13="买入",G14+C13,IF(B13="卖出",MAX(0,G14-C13),""))</f>
        <v/>
      </c>
      <c r="H13">
        <f>IF(B13="",H14,IF(B13="买入",H14,IF(B13="卖出",IF(G13=0,0,H14+(D13-F13)*C13-E13),H14)))</f>
        <v/>
      </c>
    </row>
    <row r="14">
      <c r="A14" s="6" t="n"/>
      <c r="B14" s="7" t="n"/>
      <c r="C14" s="7" t="n"/>
      <c r="D14" s="7" t="n"/>
      <c r="E14" s="7" t="n"/>
      <c r="F14" s="8">
        <f>IF(B14="买入",IF(G15&lt;=0,(C14*D14+E14)/C14,(F15*G15+C14*D14+E14)/(G15+C14)),IF(B14="卖出",IF(G15-C14&lt;=0,F15,(F15*G15-C14*D14+E14)/(G15-C14)),""))</f>
        <v/>
      </c>
      <c r="G14" s="8">
        <f>IF(B14="买入",G15+C14,IF(B14="卖出",MAX(0,G15-C14),""))</f>
        <v/>
      </c>
      <c r="H14">
        <f>IF(B14="",H15,IF(B14="买入",H15,IF(B14="卖出",IF(G14=0,0,H15+(D14-F14)*C14-E14),H15)))</f>
        <v/>
      </c>
    </row>
    <row r="15">
      <c r="A15" s="6" t="n"/>
      <c r="B15" s="7" t="n"/>
      <c r="C15" s="7" t="n"/>
      <c r="D15" s="7" t="n"/>
      <c r="E15" s="7" t="n"/>
      <c r="F15" s="8">
        <f>IF(B15="买入",IF(G16&lt;=0,(C15*D15+E15)/C15,(F16*G16+C15*D15+E15)/(G16+C15)),IF(B15="卖出",IF(G16-C15&lt;=0,F16,(F16*G16-C15*D15+E15)/(G16-C15)),""))</f>
        <v/>
      </c>
      <c r="G15" s="8">
        <f>IF(B15="买入",G16+C15,IF(B15="卖出",MAX(0,G16-C15),""))</f>
        <v/>
      </c>
      <c r="H15">
        <f>IF(B15="",H16,IF(B15="买入",H16,IF(B15="卖出",IF(G15=0,0,H16+(D15-F15)*C15-E15),H16)))</f>
        <v/>
      </c>
    </row>
    <row r="16">
      <c r="A16" s="6" t="n"/>
      <c r="B16" s="7" t="n"/>
      <c r="C16" s="7" t="n"/>
      <c r="D16" s="7" t="n"/>
      <c r="E16" s="7" t="n"/>
      <c r="F16" s="8">
        <f>IF(B16="买入",IF(G17&lt;=0,(C16*D16+E16)/C16,(F17*G17+C16*D16+E16)/(G17+C16)),IF(B16="卖出",IF(G17-C16&lt;=0,F17,(F17*G17-C16*D16+E16)/(G17-C16)),""))</f>
        <v/>
      </c>
      <c r="G16" s="8">
        <f>IF(B16="买入",G17+C16,IF(B16="卖出",MAX(0,G17-C16),""))</f>
        <v/>
      </c>
      <c r="H16">
        <f>IF(B16="",H17,IF(B16="买入",H17,IF(B16="卖出",IF(G16=0,0,H17+(D16-F16)*C16-E16),H17)))</f>
        <v/>
      </c>
    </row>
    <row r="17">
      <c r="A17" s="6" t="n"/>
      <c r="B17" s="7" t="n"/>
      <c r="C17" s="7" t="n"/>
      <c r="D17" s="7" t="n"/>
      <c r="E17" s="7" t="n"/>
      <c r="F17" s="8">
        <f>IF(B17="买入",IF(G18&lt;=0,(C17*D17+E17)/C17,(F18*G18+C17*D17+E17)/(G18+C17)),IF(B17="卖出",IF(G18-C17&lt;=0,F18,(F18*G18-C17*D17+E17)/(G18-C17)),""))</f>
        <v/>
      </c>
      <c r="G17" s="8">
        <f>IF(B17="买入",G18+C17,IF(B17="卖出",MAX(0,G18-C17),""))</f>
        <v/>
      </c>
      <c r="H17">
        <f>IF(B17="",H18,IF(B17="买入",H18,IF(B17="卖出",IF(G17=0,0,H18+(D17-F17)*C17-E17),H18)))</f>
        <v/>
      </c>
    </row>
    <row r="18">
      <c r="A18" s="6" t="n"/>
      <c r="B18" s="7" t="n"/>
      <c r="C18" s="7" t="n"/>
      <c r="D18" s="7" t="n"/>
      <c r="E18" s="7" t="n"/>
      <c r="F18" s="8">
        <f>IF(B18="买入",IF(G19&lt;=0,(C18*D18+E18)/C18,(F19*G19+C18*D18+E18)/(G19+C18)),IF(B18="卖出",IF(G19-C18&lt;=0,F19,(F19*G19-C18*D18+E18)/(G19-C18)),""))</f>
        <v/>
      </c>
      <c r="G18" s="8">
        <f>IF(B18="买入",G19+C18,IF(B18="卖出",MAX(0,G19-C18),""))</f>
        <v/>
      </c>
      <c r="H18">
        <f>IF(B18="",H19,IF(B18="买入",H19,IF(B18="卖出",IF(G18=0,0,H19+(D18-F18)*C18-E18),H19)))</f>
        <v/>
      </c>
    </row>
    <row r="19">
      <c r="A19" s="6" t="n"/>
      <c r="B19" s="7" t="n"/>
      <c r="C19" s="7" t="n"/>
      <c r="D19" s="7" t="n"/>
      <c r="E19" s="7" t="n"/>
      <c r="F19" s="8">
        <f>IF(B19="买入",IF(G20&lt;=0,(C19*D19+E19)/C19,(F20*G20+C19*D19+E19)/(G20+C19)),IF(B19="卖出",IF(G20-C19&lt;=0,F20,(F20*G20-C19*D19+E19)/(G20-C19)),""))</f>
        <v/>
      </c>
      <c r="G19" s="8">
        <f>IF(B19="买入",G20+C19,IF(B19="卖出",MAX(0,G20-C19),""))</f>
        <v/>
      </c>
      <c r="H19">
        <f>IF(B19="",H20,IF(B19="买入",H20,IF(B19="卖出",IF(G19=0,0,H20+(D19-F19)*C19-E19),H20)))</f>
        <v/>
      </c>
    </row>
    <row r="20">
      <c r="A20" s="6" t="n"/>
      <c r="B20" s="7" t="n"/>
      <c r="C20" s="7" t="n"/>
      <c r="D20" s="7" t="n"/>
      <c r="E20" s="7" t="n"/>
      <c r="F20" s="8">
        <f>IF(B20="买入",IF(G21&lt;=0,(C20*D20+E20)/C20,(F21*G21+C20*D20+E20)/(G21+C20)),IF(B20="卖出",IF(G21-C20&lt;=0,F21,(F21*G21-C20*D20+E20)/(G21-C20)),""))</f>
        <v/>
      </c>
      <c r="G20" s="8">
        <f>IF(B20="买入",G21+C20,IF(B20="卖出",MAX(0,G21-C20),""))</f>
        <v/>
      </c>
      <c r="H20">
        <f>IF(B20="",H21,IF(B20="买入",H21,IF(B20="卖出",IF(G20=0,0,H21+(D20-F20)*C20-E20),H21)))</f>
        <v/>
      </c>
    </row>
    <row r="21">
      <c r="A21" s="6" t="n"/>
      <c r="B21" s="7" t="n"/>
      <c r="C21" s="7" t="n"/>
      <c r="D21" s="7" t="n"/>
      <c r="E21" s="7" t="n"/>
      <c r="F21" s="8">
        <f>IF(B21="买入",IF(G22&lt;=0,(C21*D21+E21)/C21,(F22*G22+C21*D21+E21)/(G22+C21)),IF(B21="卖出",IF(G22-C21&lt;=0,F22,(F22*G22-C21*D21+E21)/(G22-C21)),""))</f>
        <v/>
      </c>
      <c r="G21" s="8">
        <f>IF(B21="买入",G22+C21,IF(B21="卖出",MAX(0,G22-C21),""))</f>
        <v/>
      </c>
      <c r="H21">
        <f>IF(B21="",H22,IF(B21="买入",H22,IF(B21="卖出",IF(G21=0,0,H22+(D21-F21)*C21-E21),H22)))</f>
        <v/>
      </c>
    </row>
    <row r="22">
      <c r="A22" s="6" t="n"/>
      <c r="B22" s="7" t="n"/>
      <c r="C22" s="7" t="n"/>
      <c r="D22" s="7" t="n"/>
      <c r="E22" s="7" t="n"/>
      <c r="F22" s="8">
        <f>IF(B22="买入",IF(G23&lt;=0,(C22*D22+E22)/C22,(F23*G23+C22*D22+E22)/(G23+C22)),IF(B22="卖出",IF(G23-C22&lt;=0,F23,(F23*G23-C22*D22+E22)/(G23-C22)),""))</f>
        <v/>
      </c>
      <c r="G22" s="8">
        <f>IF(B22="买入",G23+C22,IF(B22="卖出",MAX(0,G23-C22),""))</f>
        <v/>
      </c>
      <c r="H22">
        <f>IF(B22="",H23,IF(B22="买入",H23,IF(B22="卖出",IF(G22=0,0,H23+(D22-F22)*C22-E22),H23)))</f>
        <v/>
      </c>
    </row>
    <row r="23">
      <c r="A23" s="6" t="n"/>
      <c r="B23" s="7" t="n"/>
      <c r="C23" s="7" t="n"/>
      <c r="D23" s="7" t="n"/>
      <c r="E23" s="7" t="n"/>
      <c r="F23" s="8">
        <f>IF(B23="买入",IF(G24&lt;=0,(C23*D23+E23)/C23,(F24*G24+C23*D23+E23)/(G24+C23)),IF(B23="卖出",IF(G24-C23&lt;=0,F24,(F24*G24-C23*D23+E23)/(G24-C23)),""))</f>
        <v/>
      </c>
      <c r="G23" s="8">
        <f>IF(B23="买入",G24+C23,IF(B23="卖出",MAX(0,G24-C23),""))</f>
        <v/>
      </c>
      <c r="H23">
        <f>IF(B23="",H24,IF(B23="买入",H24,IF(B23="卖出",IF(G23=0,0,H24+(D23-F23)*C23-E23),H24)))</f>
        <v/>
      </c>
    </row>
    <row r="24">
      <c r="A24" s="6" t="n"/>
      <c r="B24" s="7" t="n"/>
      <c r="C24" s="7" t="n"/>
      <c r="D24" s="7" t="n"/>
      <c r="E24" s="7" t="n"/>
      <c r="F24" s="8">
        <f>IF(B24="买入",IF(G25&lt;=0,(C24*D24+E24)/C24,(F25*G25+C24*D24+E24)/(G25+C24)),IF(B24="卖出",IF(G25-C24&lt;=0,F25,(F25*G25-C24*D24+E24)/(G25-C24)),""))</f>
        <v/>
      </c>
      <c r="G24" s="8">
        <f>IF(B24="买入",G25+C24,IF(B24="卖出",MAX(0,G25-C24),""))</f>
        <v/>
      </c>
      <c r="H24">
        <f>IF(B24="",H25,IF(B24="买入",H25,IF(B24="卖出",IF(G24=0,0,H25+(D24-F24)*C24-E24),H25)))</f>
        <v/>
      </c>
    </row>
    <row r="25">
      <c r="A25" s="6" t="n"/>
      <c r="B25" s="7" t="n"/>
      <c r="C25" s="7" t="n"/>
      <c r="D25" s="7" t="n"/>
      <c r="E25" s="7" t="n"/>
      <c r="F25" s="8">
        <f>IF(B25="买入",IF(G26&lt;=0,(C25*D25+E25)/C25,(F26*G26+C25*D25+E25)/(G26+C25)),IF(B25="卖出",IF(G26-C25&lt;=0,F26,(F26*G26-C25*D25+E25)/(G26-C25)),""))</f>
        <v/>
      </c>
      <c r="G25" s="8">
        <f>IF(B25="买入",G26+C25,IF(B25="卖出",MAX(0,G26-C25),""))</f>
        <v/>
      </c>
      <c r="H25">
        <f>IF(B25="",H26,IF(B25="买入",H26,IF(B25="卖出",IF(G25=0,0,H26+(D25-F25)*C25-E25),H26)))</f>
        <v/>
      </c>
    </row>
    <row r="26">
      <c r="A26" s="6" t="n"/>
      <c r="B26" s="7" t="n"/>
      <c r="C26" s="7" t="n"/>
      <c r="D26" s="7" t="n"/>
      <c r="E26" s="7" t="n"/>
      <c r="F26" s="8">
        <f>IF(B26="买入",IF(G27&lt;=0,(C26*D26+E26)/C26,(F27*G27+C26*D26+E26)/(G27+C26)),IF(B26="卖出",IF(G27-C26&lt;=0,F27,(F27*G27-C26*D26+E26)/(G27-C26)),""))</f>
        <v/>
      </c>
      <c r="G26" s="8">
        <f>IF(B26="买入",G27+C26,IF(B26="卖出",MAX(0,G27-C26),""))</f>
        <v/>
      </c>
      <c r="H26">
        <f>IF(B26="",H27,IF(B26="买入",H27,IF(B26="卖出",IF(G26=0,0,H27+(D26-F26)*C26-E26),H27)))</f>
        <v/>
      </c>
    </row>
    <row r="27">
      <c r="A27" s="6" t="n"/>
      <c r="B27" s="7" t="n"/>
      <c r="C27" s="7" t="n"/>
      <c r="D27" s="7" t="n"/>
      <c r="E27" s="7" t="n"/>
      <c r="F27" s="8">
        <f>IF(B27="买入",IF(G28&lt;=0,(C27*D27+E27)/C27,(F28*G28+C27*D27+E27)/(G28+C27)),IF(B27="卖出",IF(G28-C27&lt;=0,F28,(F28*G28-C27*D27+E27)/(G28-C27)),""))</f>
        <v/>
      </c>
      <c r="G27" s="8">
        <f>IF(B27="买入",G28+C27,IF(B27="卖出",MAX(0,G28-C27),""))</f>
        <v/>
      </c>
      <c r="H27">
        <f>IF(B27="",H28,IF(B27="买入",H28,IF(B27="卖出",IF(G27=0,0,H28+(D27-F27)*C27-E27),H28)))</f>
        <v/>
      </c>
    </row>
    <row r="28">
      <c r="A28" s="6" t="n"/>
      <c r="B28" s="7" t="n"/>
      <c r="C28" s="7" t="n"/>
      <c r="D28" s="7" t="n"/>
      <c r="E28" s="7" t="n"/>
      <c r="F28" s="8">
        <f>IF(B28="买入",IF(G29&lt;=0,(C28*D28+E28)/C28,(F29*G29+C28*D28+E28)/(G29+C28)),IF(B28="卖出",IF(G29-C28&lt;=0,F29,(F29*G29-C28*D28+E28)/(G29-C28)),""))</f>
        <v/>
      </c>
      <c r="G28" s="8">
        <f>IF(B28="买入",G29+C28,IF(B28="卖出",MAX(0,G29-C28),""))</f>
        <v/>
      </c>
      <c r="H28">
        <f>IF(B28="",H29,IF(B28="买入",H29,IF(B28="卖出",IF(G28=0,0,H29+(D28-F28)*C28-E28),H29)))</f>
        <v/>
      </c>
    </row>
    <row r="29">
      <c r="A29" s="6" t="n"/>
      <c r="B29" s="7" t="n"/>
      <c r="C29" s="7" t="n"/>
      <c r="D29" s="7" t="n"/>
      <c r="E29" s="7" t="n"/>
      <c r="F29" s="8">
        <f>IF(B29="买入",IF(G30&lt;=0,(C29*D29+E29)/C29,(F30*G30+C29*D29+E29)/(G30+C29)),IF(B29="卖出",IF(G30-C29&lt;=0,F30,(F30*G30-C29*D29+E29)/(G30-C29)),""))</f>
        <v/>
      </c>
      <c r="G29" s="8">
        <f>IF(B29="买入",G30+C29,IF(B29="卖出",MAX(0,G30-C29),""))</f>
        <v/>
      </c>
      <c r="H29">
        <f>IF(B29="",H30,IF(B29="买入",H30,IF(B29="卖出",IF(G29=0,0,H30+(D29-F29)*C29-E29),H30)))</f>
        <v/>
      </c>
    </row>
    <row r="30">
      <c r="A30" s="6" t="n"/>
      <c r="B30" s="7" t="n"/>
      <c r="C30" s="7" t="n"/>
      <c r="D30" s="7" t="n"/>
      <c r="E30" s="7" t="n"/>
      <c r="F30" s="8">
        <f>IF(B30="买入",IF(G31&lt;=0,(C30*D30+E30)/C30,(F31*G31+C30*D30+E30)/(G31+C30)),IF(B30="卖出",IF(G31-C30&lt;=0,F31,(F31*G31-C30*D30+E30)/(G31-C30)),""))</f>
        <v/>
      </c>
      <c r="G30" s="8">
        <f>IF(B30="买入",G31+C30,IF(B30="卖出",MAX(0,G31-C30),""))</f>
        <v/>
      </c>
      <c r="H30">
        <f>IF(B30="",H31,IF(B30="买入",H31,IF(B30="卖出",IF(G30=0,0,H31+(D30-F30)*C30-E30),H31)))</f>
        <v/>
      </c>
    </row>
    <row r="31">
      <c r="A31" s="6" t="n"/>
      <c r="B31" s="7" t="n"/>
      <c r="C31" s="7" t="n"/>
      <c r="D31" s="7" t="n"/>
      <c r="E31" s="7" t="n"/>
      <c r="F31" s="8">
        <f>IF(B31="买入",IF(G32&lt;=0,(C31*D31+E31)/C31,(F32*G32+C31*D31+E31)/(G32+C31)),IF(B31="卖出",IF(G32-C31&lt;=0,F32,(F32*G32-C31*D31+E31)/(G32-C31)),""))</f>
        <v/>
      </c>
      <c r="G31" s="8">
        <f>IF(B31="买入",G32+C31,IF(B31="卖出",MAX(0,G32-C31),""))</f>
        <v/>
      </c>
      <c r="H31">
        <f>IF(B31="",H32,IF(B31="买入",H32,IF(B31="卖出",IF(G31=0,0,H32+(D31-F31)*C31-E31),H32)))</f>
        <v/>
      </c>
    </row>
    <row r="32">
      <c r="A32" s="6" t="n"/>
      <c r="B32" s="7" t="n"/>
      <c r="C32" s="7" t="n"/>
      <c r="D32" s="7" t="n"/>
      <c r="E32" s="7" t="n"/>
      <c r="F32" s="8">
        <f>IF(B32="买入",IF(G33&lt;=0,(C32*D32+E32)/C32,(F33*G33+C32*D32+E32)/(G33+C32)),IF(B32="卖出",IF(G33-C32&lt;=0,F33,(F33*G33-C32*D32+E32)/(G33-C32)),""))</f>
        <v/>
      </c>
      <c r="G32" s="8">
        <f>IF(B32="买入",G33+C32,IF(B32="卖出",MAX(0,G33-C32),""))</f>
        <v/>
      </c>
      <c r="H32">
        <f>IF(B32="",H33,IF(B32="买入",H33,IF(B32="卖出",IF(G32=0,0,H33+(D32-F32)*C32-E32),H33)))</f>
        <v/>
      </c>
    </row>
    <row r="33">
      <c r="A33" s="6" t="n"/>
      <c r="B33" s="7" t="n"/>
      <c r="C33" s="7" t="n"/>
      <c r="D33" s="7" t="n"/>
      <c r="E33" s="7" t="n"/>
      <c r="F33" s="8">
        <f>IF(B33="买入",IF(G34&lt;=0,(C33*D33+E33)/C33,(F34*G34+C33*D33+E33)/(G34+C33)),IF(B33="卖出",IF(G34-C33&lt;=0,F34,(F34*G34-C33*D33+E33)/(G34-C33)),""))</f>
        <v/>
      </c>
      <c r="G33" s="8">
        <f>IF(B33="买入",G34+C33,IF(B33="卖出",MAX(0,G34-C33),""))</f>
        <v/>
      </c>
      <c r="H33">
        <f>IF(B33="",H34,IF(B33="买入",H34,IF(B33="卖出",IF(G33=0,0,H34+(D33-F33)*C33-E33),H34)))</f>
        <v/>
      </c>
    </row>
    <row r="34">
      <c r="A34" s="6" t="n"/>
      <c r="B34" s="7" t="n"/>
      <c r="C34" s="7" t="n"/>
      <c r="D34" s="7" t="n"/>
      <c r="E34" s="7" t="n"/>
      <c r="F34" s="8">
        <f>IF(B34="买入",IF(G35&lt;=0,(C34*D34+E34)/C34,(F35*G35+C34*D34+E34)/(G35+C34)),IF(B34="卖出",IF(G35-C34&lt;=0,F35,(F35*G35-C34*D34+E34)/(G35-C34)),""))</f>
        <v/>
      </c>
      <c r="G34" s="8">
        <f>IF(B34="买入",G35+C34,IF(B34="卖出",MAX(0,G35-C34),""))</f>
        <v/>
      </c>
      <c r="H34">
        <f>IF(B34="",H35,IF(B34="买入",H35,IF(B34="卖出",IF(G34=0,0,H35+(D34-F34)*C34-E34),H35)))</f>
        <v/>
      </c>
    </row>
    <row r="35">
      <c r="A35" s="6" t="n"/>
      <c r="B35" s="7" t="n"/>
      <c r="C35" s="7" t="n"/>
      <c r="D35" s="7" t="n"/>
      <c r="E35" s="7" t="n"/>
      <c r="F35" s="8">
        <f>IF(B35="买入",IF(G36&lt;=0,(C35*D35+E35)/C35,(F36*G36+C35*D35+E35)/(G36+C35)),IF(B35="卖出",IF(G36-C35&lt;=0,F36,(F36*G36-C35*D35+E35)/(G36-C35)),""))</f>
        <v/>
      </c>
      <c r="G35" s="8">
        <f>IF(B35="买入",G36+C35,IF(B35="卖出",MAX(0,G36-C35),""))</f>
        <v/>
      </c>
      <c r="H35">
        <f>IF(B35="",H36,IF(B35="买入",H36,IF(B35="卖出",IF(G35=0,0,H36+(D35-F35)*C35-E35),H36)))</f>
        <v/>
      </c>
    </row>
    <row r="36">
      <c r="A36" s="6" t="n"/>
      <c r="B36" s="7" t="n"/>
      <c r="C36" s="7" t="n"/>
      <c r="D36" s="7" t="n"/>
      <c r="E36" s="7" t="n"/>
      <c r="F36" s="8">
        <f>IF(B36="买入",IF(G37&lt;=0,(C36*D36+E36)/C36,(F37*G37+C36*D36+E36)/(G37+C36)),IF(B36="卖出",IF(G37-C36&lt;=0,F37,(F37*G37-C36*D36+E36)/(G37-C36)),""))</f>
        <v/>
      </c>
      <c r="G36" s="8">
        <f>IF(B36="买入",G37+C36,IF(B36="卖出",MAX(0,G37-C36),""))</f>
        <v/>
      </c>
      <c r="H36">
        <f>IF(B36="",H37,IF(B36="买入",H37,IF(B36="卖出",IF(G36=0,0,H37+(D36-F36)*C36-E36),H37)))</f>
        <v/>
      </c>
    </row>
    <row r="37">
      <c r="A37" s="6" t="n"/>
      <c r="B37" s="7" t="n"/>
      <c r="C37" s="7" t="n"/>
      <c r="D37" s="7" t="n"/>
      <c r="E37" s="7" t="n"/>
      <c r="F37" s="8">
        <f>IF(B37="买入",IF(G38&lt;=0,(C37*D37+E37)/C37,(F38*G38+C37*D37+E37)/(G38+C37)),IF(B37="卖出",IF(G38-C37&lt;=0,F38,(F38*G38-C37*D37+E37)/(G38-C37)),""))</f>
        <v/>
      </c>
      <c r="G37" s="8">
        <f>IF(B37="买入",G38+C37,IF(B37="卖出",MAX(0,G38-C37),""))</f>
        <v/>
      </c>
      <c r="H37">
        <f>IF(B37="",H38,IF(B37="买入",H38,IF(B37="卖出",IF(G37=0,0,H38+(D37-F37)*C37-E37),H38)))</f>
        <v/>
      </c>
    </row>
    <row r="38">
      <c r="A38" s="6" t="n"/>
      <c r="B38" s="7" t="n"/>
      <c r="C38" s="7" t="n"/>
      <c r="D38" s="7" t="n"/>
      <c r="E38" s="7" t="n"/>
      <c r="F38" s="8">
        <f>IF(B38="买入",IF(G39&lt;=0,(C38*D38+E38)/C38,(F39*G39+C38*D38+E38)/(G39+C38)),IF(B38="卖出",IF(G39-C38&lt;=0,F39,(F39*G39-C38*D38+E38)/(G39-C38)),""))</f>
        <v/>
      </c>
      <c r="G38" s="8">
        <f>IF(B38="买入",G39+C38,IF(B38="卖出",MAX(0,G39-C38),""))</f>
        <v/>
      </c>
      <c r="H38">
        <f>IF(B38="",H39,IF(B38="买入",H39,IF(B38="卖出",IF(G38=0,0,H39+(D38-F38)*C38-E38),H39)))</f>
        <v/>
      </c>
    </row>
    <row r="39">
      <c r="A39" s="6" t="n"/>
      <c r="B39" s="7" t="n"/>
      <c r="C39" s="7" t="n"/>
      <c r="D39" s="7" t="n"/>
      <c r="E39" s="7" t="n"/>
      <c r="F39" s="8">
        <f>IF(B39="买入",IF(G40&lt;=0,(C39*D39+E39)/C39,(F40*G40+C39*D39+E39)/(G40+C39)),IF(B39="卖出",IF(G40-C39&lt;=0,F40,(F40*G40-C39*D39+E39)/(G40-C39)),""))</f>
        <v/>
      </c>
      <c r="G39" s="8">
        <f>IF(B39="买入",G40+C39,IF(B39="卖出",MAX(0,G40-C39),""))</f>
        <v/>
      </c>
      <c r="H39">
        <f>IF(B39="",H40,IF(B39="买入",H40,IF(B39="卖出",IF(G39=0,0,H40+(D39-F39)*C39-E39),H40)))</f>
        <v/>
      </c>
    </row>
    <row r="40">
      <c r="A40" s="6" t="n"/>
      <c r="B40" s="7" t="n"/>
      <c r="C40" s="7" t="n"/>
      <c r="D40" s="7" t="n"/>
      <c r="E40" s="7" t="n"/>
      <c r="F40" s="8">
        <f>IF(B40="买入",IF(G41&lt;=0,(C40*D40+E40)/C40,(F41*G41+C40*D40+E40)/(G41+C40)),IF(B40="卖出",IF(G41-C40&lt;=0,F41,(F41*G41-C40*D40+E40)/(G41-C40)),""))</f>
        <v/>
      </c>
      <c r="G40" s="8">
        <f>IF(B40="买入",G41+C40,IF(B40="卖出",MAX(0,G41-C40),""))</f>
        <v/>
      </c>
      <c r="H40">
        <f>IF(B40="",H41,IF(B40="买入",H41,IF(B40="卖出",IF(G40=0,0,H41+(D40-F40)*C40-E40),H41)))</f>
        <v/>
      </c>
    </row>
    <row r="41">
      <c r="A41" s="6" t="n"/>
      <c r="B41" s="7" t="n"/>
      <c r="C41" s="7" t="n"/>
      <c r="D41" s="7" t="n"/>
      <c r="E41" s="7" t="n"/>
      <c r="F41" s="8">
        <f>IF(B41="买入",IF(G42&lt;=0,(C41*D41+E41)/C41,(F42*G42+C41*D41+E41)/(G42+C41)),IF(B41="卖出",IF(G42-C41&lt;=0,F42,(F42*G42-C41*D41+E41)/(G42-C41)),""))</f>
        <v/>
      </c>
      <c r="G41" s="8">
        <f>IF(B41="买入",G42+C41,IF(B41="卖出",MAX(0,G42-C41),""))</f>
        <v/>
      </c>
      <c r="H41">
        <f>IF(B41="",H42,IF(B41="买入",H42,IF(B41="卖出",IF(G41=0,0,H42+(D41-F41)*C41-E41),H42)))</f>
        <v/>
      </c>
    </row>
    <row r="42">
      <c r="A42" s="6" t="n"/>
      <c r="B42" s="7" t="n"/>
      <c r="C42" s="7" t="n"/>
      <c r="D42" s="7" t="n"/>
      <c r="E42" s="7" t="n"/>
      <c r="F42" s="8">
        <f>IF(B42="买入",IF(G43&lt;=0,(C42*D42+E42)/C42,(F43*G43+C42*D42+E42)/(G43+C42)),IF(B42="卖出",IF(G43-C42&lt;=0,F43,(F43*G43-C42*D42+E42)/(G43-C42)),""))</f>
        <v/>
      </c>
      <c r="G42" s="8">
        <f>IF(B42="买入",G43+C42,IF(B42="卖出",MAX(0,G43-C42),""))</f>
        <v/>
      </c>
      <c r="H42">
        <f>IF(B42="",H43,IF(B42="买入",H43,IF(B42="卖出",IF(G42=0,0,H43+(D42-F42)*C42-E42),H43)))</f>
        <v/>
      </c>
    </row>
    <row r="43">
      <c r="A43" s="6" t="n"/>
      <c r="B43" s="7" t="n"/>
      <c r="C43" s="7" t="n"/>
      <c r="D43" s="7" t="n"/>
      <c r="E43" s="7" t="n"/>
      <c r="F43" s="8">
        <f>IF(B43="买入",IF(G44&lt;=0,(C43*D43+E43)/C43,(F44*G44+C43*D43+E43)/(G44+C43)),IF(B43="卖出",IF(G44-C43&lt;=0,F44,(F44*G44-C43*D43+E43)/(G44-C43)),""))</f>
        <v/>
      </c>
      <c r="G43" s="8">
        <f>IF(B43="买入",G44+C43,IF(B43="卖出",MAX(0,G44-C43),""))</f>
        <v/>
      </c>
      <c r="H43">
        <f>IF(B43="",H44,IF(B43="买入",H44,IF(B43="卖出",IF(G43=0,0,H44+(D43-F43)*C43-E43),H44)))</f>
        <v/>
      </c>
    </row>
    <row r="44">
      <c r="A44" s="6" t="n"/>
      <c r="B44" s="7" t="n"/>
      <c r="C44" s="7" t="n"/>
      <c r="D44" s="7" t="n"/>
      <c r="E44" s="7" t="n"/>
      <c r="F44" s="8">
        <f>IF(B44="买入",IF(G45&lt;=0,(C44*D44+E44)/C44,(F45*G45+C44*D44+E44)/(G45+C44)),IF(B44="卖出",IF(G45-C44&lt;=0,F45,(F45*G45-C44*D44+E44)/(G45-C44)),""))</f>
        <v/>
      </c>
      <c r="G44" s="8">
        <f>IF(B44="买入",G45+C44,IF(B44="卖出",MAX(0,G45-C44),""))</f>
        <v/>
      </c>
      <c r="H44">
        <f>IF(B44="",H45,IF(B44="买入",H45,IF(B44="卖出",IF(G44=0,0,H45+(D44-F44)*C44-E44),H45)))</f>
        <v/>
      </c>
    </row>
    <row r="45">
      <c r="A45" s="6" t="n"/>
      <c r="B45" s="7" t="n"/>
      <c r="C45" s="7" t="n"/>
      <c r="D45" s="7" t="n"/>
      <c r="E45" s="7" t="n"/>
      <c r="F45" s="8">
        <f>IF(B45="买入",IF(G46&lt;=0,(C45*D45+E45)/C45,(F46*G46+C45*D45+E45)/(G46+C45)),IF(B45="卖出",IF(G46-C45&lt;=0,F46,(F46*G46-C45*D45+E45)/(G46-C45)),""))</f>
        <v/>
      </c>
      <c r="G45" s="8">
        <f>IF(B45="买入",G46+C45,IF(B45="卖出",MAX(0,G46-C45),""))</f>
        <v/>
      </c>
      <c r="H45">
        <f>IF(B45="",H46,IF(B45="买入",H46,IF(B45="卖出",IF(G45=0,0,H46+(D45-F45)*C45-E45),H46)))</f>
        <v/>
      </c>
    </row>
    <row r="46">
      <c r="A46" s="6" t="n"/>
      <c r="B46" s="7" t="n"/>
      <c r="C46" s="7" t="n"/>
      <c r="D46" s="7" t="n"/>
      <c r="E46" s="7" t="n"/>
      <c r="F46" s="8">
        <f>IF(B46="买入",IF(G47&lt;=0,(C46*D46+E46)/C46,(F47*G47+C46*D46+E46)/(G47+C46)),IF(B46="卖出",IF(G47-C46&lt;=0,F47,(F47*G47-C46*D46+E46)/(G47-C46)),""))</f>
        <v/>
      </c>
      <c r="G46" s="8">
        <f>IF(B46="买入",G47+C46,IF(B46="卖出",MAX(0,G47-C46),""))</f>
        <v/>
      </c>
      <c r="H46">
        <f>IF(B46="",H47,IF(B46="买入",H47,IF(B46="卖出",IF(G46=0,0,H47+(D46-F46)*C46-E46),H47)))</f>
        <v/>
      </c>
    </row>
    <row r="47">
      <c r="A47" s="6" t="n"/>
      <c r="B47" s="7" t="n"/>
      <c r="C47" s="7" t="n"/>
      <c r="D47" s="7" t="n"/>
      <c r="E47" s="7" t="n"/>
      <c r="F47" s="8">
        <f>IF(B47="买入",IF(G48&lt;=0,(C47*D47+E47)/C47,(F48*G48+C47*D47+E47)/(G48+C47)),IF(B47="卖出",IF(G48-C47&lt;=0,F48,(F48*G48-C47*D47+E47)/(G48-C47)),""))</f>
        <v/>
      </c>
      <c r="G47" s="8">
        <f>IF(B47="买入",G48+C47,IF(B47="卖出",MAX(0,G48-C47),""))</f>
        <v/>
      </c>
      <c r="H47">
        <f>IF(B47="",H48,IF(B47="买入",H48,IF(B47="卖出",IF(G47=0,0,H48+(D47-F47)*C47-E47),H48)))</f>
        <v/>
      </c>
    </row>
    <row r="48">
      <c r="A48" s="6" t="n"/>
      <c r="B48" s="7" t="n"/>
      <c r="C48" s="7" t="n"/>
      <c r="D48" s="7" t="n"/>
      <c r="E48" s="7" t="n"/>
      <c r="F48" s="8">
        <f>IF(B48="买入",IF(G49&lt;=0,(C48*D48+E48)/C48,(F49*G49+C48*D48+E48)/(G49+C48)),IF(B48="卖出",IF(G49-C48&lt;=0,F49,(F49*G49-C48*D48+E48)/(G49-C48)),""))</f>
        <v/>
      </c>
      <c r="G48" s="8">
        <f>IF(B48="买入",G49+C48,IF(B48="卖出",MAX(0,G49-C48),""))</f>
        <v/>
      </c>
      <c r="H48">
        <f>IF(B48="",H49,IF(B48="买入",H49,IF(B48="卖出",IF(G48=0,0,H49+(D48-F48)*C48-E48),H49)))</f>
        <v/>
      </c>
    </row>
    <row r="49">
      <c r="A49" s="6" t="n"/>
      <c r="B49" s="7" t="n"/>
      <c r="C49" s="7" t="n"/>
      <c r="D49" s="7" t="n"/>
      <c r="E49" s="7" t="n"/>
      <c r="F49" s="8">
        <f>IF(B49="买入",IF(G50&lt;=0,(C49*D49+E49)/C49,(F50*G50+C49*D49+E49)/(G50+C49)),IF(B49="卖出",IF(G50-C49&lt;=0,F50,(F50*G50-C49*D49+E49)/(G50-C49)),""))</f>
        <v/>
      </c>
      <c r="G49" s="8">
        <f>IF(B49="买入",G50+C49,IF(B49="卖出",MAX(0,G50-C49),""))</f>
        <v/>
      </c>
      <c r="H49">
        <f>IF(B49="",H50,IF(B49="买入",H50,IF(B49="卖出",IF(G49=0,0,H50+(D49-F49)*C49-E49),H50)))</f>
        <v/>
      </c>
    </row>
    <row r="50">
      <c r="A50" s="6" t="n"/>
      <c r="B50" s="7" t="n"/>
      <c r="C50" s="7" t="n"/>
      <c r="D50" s="7" t="n"/>
      <c r="E50" s="7" t="n"/>
      <c r="F50" s="8">
        <f>IF(B50="买入",IF(G51&lt;=0,(C50*D50+E50)/C50,(F51*G51+C50*D50+E50)/(G51+C50)),IF(B50="卖出",IF(G51-C50&lt;=0,F51,(F51*G51-C50*D50+E50)/(G51-C50)),""))</f>
        <v/>
      </c>
      <c r="G50" s="8">
        <f>IF(B50="买入",G51+C50,IF(B50="卖出",MAX(0,G51-C50),""))</f>
        <v/>
      </c>
      <c r="H50">
        <f>IF(B50="",H51,IF(B50="买入",H51,IF(B50="卖出",IF(G50=0,0,H51+(D50-F50)*C50-E50),H51)))</f>
        <v/>
      </c>
    </row>
    <row r="51">
      <c r="A51" s="6" t="n"/>
      <c r="B51" s="7" t="n"/>
      <c r="C51" s="7" t="n"/>
      <c r="D51" s="7" t="n"/>
      <c r="E51" s="7" t="n"/>
      <c r="F51" s="8">
        <f>IF(B51="买入",IF(G52&lt;=0,(C51*D51+E51)/C51,(F52*G52+C51*D51+E51)/(G52+C51)),IF(B51="卖出",IF(G52-C51&lt;=0,F52,(F52*G52-C51*D51+E51)/(G52-C51)),""))</f>
        <v/>
      </c>
      <c r="G51" s="8">
        <f>IF(B51="买入",G52+C51,IF(B51="卖出",MAX(0,G52-C51),""))</f>
        <v/>
      </c>
      <c r="H51">
        <f>IF(B51="",H52,IF(B51="买入",H52,IF(B51="卖出",IF(G51=0,0,H52+(D51-F51)*C51-E51),H52)))</f>
        <v/>
      </c>
    </row>
    <row r="52">
      <c r="A52" s="6" t="n"/>
      <c r="B52" s="7" t="n"/>
      <c r="C52" s="7" t="n"/>
      <c r="D52" s="7" t="n"/>
      <c r="E52" s="7" t="n"/>
      <c r="F52" s="8">
        <f>IF(B52="买入",IF(G53&lt;=0,(C52*D52+E52)/C52,(F53*G53+C52*D52+E52)/(G53+C52)),IF(B52="卖出",IF(G53-C52&lt;=0,F53,(F53*G53-C52*D52+E52)/(G53-C52)),""))</f>
        <v/>
      </c>
      <c r="G52" s="8">
        <f>IF(B52="买入",G53+C52,IF(B52="卖出",MAX(0,G53-C52),""))</f>
        <v/>
      </c>
      <c r="H52">
        <f>IF(B52="",H53,IF(B52="买入",H53,IF(B52="卖出",IF(G52=0,0,H53+(D52-F52)*C52-E52),H53)))</f>
        <v/>
      </c>
    </row>
    <row r="53">
      <c r="A53" s="6" t="n"/>
      <c r="B53" s="7" t="n"/>
      <c r="C53" s="7" t="n"/>
      <c r="D53" s="7" t="n"/>
      <c r="E53" s="7" t="n"/>
      <c r="F53" s="8">
        <f>IF(B53="买入",IF(G54&lt;=0,(C53*D53+E53)/C53,(F54*G54+C53*D53+E53)/(G54+C53)),IF(B53="卖出",IF(G54-C53&lt;=0,F54,(F54*G54-C53*D53+E53)/(G54-C53)),""))</f>
        <v/>
      </c>
      <c r="G53" s="8">
        <f>IF(B53="买入",G54+C53,IF(B53="卖出",MAX(0,G54-C53),""))</f>
        <v/>
      </c>
      <c r="H53">
        <f>IF(B53="",H54,IF(B53="买入",H54,IF(B53="卖出",IF(G53=0,0,H54+(D53-F53)*C53-E53),H54)))</f>
        <v/>
      </c>
    </row>
    <row r="54">
      <c r="A54" s="6" t="n"/>
      <c r="B54" s="7" t="n"/>
      <c r="C54" s="7" t="n"/>
      <c r="D54" s="7" t="n"/>
      <c r="E54" s="7" t="n"/>
      <c r="F54" s="8">
        <f>IF(B54="买入",IF(G55&lt;=0,(C54*D54+E54)/C54,(F55*G55+C54*D54+E54)/(G55+C54)),IF(B54="卖出",IF(G55-C54&lt;=0,F55,(F55*G55-C54*D54+E54)/(G55-C54)),""))</f>
        <v/>
      </c>
      <c r="G54" s="8">
        <f>IF(B54="买入",G55+C54,IF(B54="卖出",MAX(0,G55-C54),""))</f>
        <v/>
      </c>
      <c r="H54">
        <f>IF(B54="",H55,IF(B54="买入",H55,IF(B54="卖出",IF(G54=0,0,H55+(D54-F54)*C54-E54),H55)))</f>
        <v/>
      </c>
    </row>
    <row r="55">
      <c r="A55" s="6" t="n"/>
      <c r="B55" s="7" t="n"/>
      <c r="C55" s="7" t="n"/>
      <c r="D55" s="7" t="n"/>
      <c r="E55" s="7" t="n"/>
      <c r="F55" s="8">
        <f>IF(B55="买入",IF(G56&lt;=0,(C55*D55+E55)/C55,(F56*G56+C55*D55+E55)/(G56+C55)),IF(B55="卖出",IF(G56-C55&lt;=0,F56,(F56*G56-C55*D55+E55)/(G56-C55)),""))</f>
        <v/>
      </c>
      <c r="G55" s="8">
        <f>IF(B55="买入",G56+C55,IF(B55="卖出",MAX(0,G56-C55),""))</f>
        <v/>
      </c>
      <c r="H55">
        <f>IF(B55="",H56,IF(B55="买入",H56,IF(B55="卖出",IF(G55=0,0,H56+(D55-F55)*C55-E55),H56)))</f>
        <v/>
      </c>
    </row>
    <row r="56">
      <c r="A56" s="6" t="n"/>
      <c r="B56" s="7" t="n"/>
      <c r="C56" s="7" t="n"/>
      <c r="D56" s="7" t="n"/>
      <c r="E56" s="7" t="n"/>
      <c r="F56" s="8">
        <f>IF(B56="买入",IF(G57&lt;=0,(C56*D56+E56)/C56,(F57*G57+C56*D56+E56)/(G57+C56)),IF(B56="卖出",IF(G57-C56&lt;=0,F57,(F57*G57-C56*D56+E56)/(G57-C56)),""))</f>
        <v/>
      </c>
      <c r="G56" s="8">
        <f>IF(B56="买入",G57+C56,IF(B56="卖出",MAX(0,G57-C56),""))</f>
        <v/>
      </c>
      <c r="H56">
        <f>IF(B56="",H57,IF(B56="买入",H57,IF(B56="卖出",IF(G56=0,0,H57+(D56-F56)*C56-E56),H57)))</f>
        <v/>
      </c>
    </row>
    <row r="57">
      <c r="A57" s="6" t="n"/>
      <c r="B57" s="7" t="n"/>
      <c r="C57" s="7" t="n"/>
      <c r="D57" s="7" t="n"/>
      <c r="E57" s="7" t="n"/>
      <c r="F57" s="8">
        <f>IF(B57="买入",IF(G58&lt;=0,(C57*D57+E57)/C57,(F58*G58+C57*D57+E57)/(G58+C57)),IF(B57="卖出",IF(G58-C57&lt;=0,F58,(F58*G58-C57*D57+E57)/(G58-C57)),""))</f>
        <v/>
      </c>
      <c r="G57" s="8">
        <f>IF(B57="买入",G58+C57,IF(B57="卖出",MAX(0,G58-C57),""))</f>
        <v/>
      </c>
      <c r="H57">
        <f>IF(B57="",H58,IF(B57="买入",H58,IF(B57="卖出",IF(G57=0,0,H58+(D57-F57)*C57-E57),H58)))</f>
        <v/>
      </c>
    </row>
    <row r="58">
      <c r="A58" s="6" t="n"/>
      <c r="B58" s="7" t="n"/>
      <c r="C58" s="7" t="n"/>
      <c r="D58" s="7" t="n"/>
      <c r="E58" s="7" t="n"/>
      <c r="F58" s="8">
        <f>IF(B58="买入",IF(G59&lt;=0,(C58*D58+E58)/C58,(F59*G59+C58*D58+E58)/(G59+C58)),IF(B58="卖出",IF(G59-C58&lt;=0,F59,(F59*G59-C58*D58+E58)/(G59-C58)),""))</f>
        <v/>
      </c>
      <c r="G58" s="8">
        <f>IF(B58="买入",G59+C58,IF(B58="卖出",MAX(0,G59-C58),""))</f>
        <v/>
      </c>
      <c r="H58">
        <f>IF(B58="",H59,IF(B58="买入",H59,IF(B58="卖出",IF(G58=0,0,H59+(D58-F58)*C58-E58),H59)))</f>
        <v/>
      </c>
    </row>
    <row r="59">
      <c r="A59" s="6" t="n"/>
      <c r="B59" s="7" t="n"/>
      <c r="C59" s="7" t="n"/>
      <c r="D59" s="7" t="n"/>
      <c r="E59" s="7" t="n"/>
      <c r="F59" s="8">
        <f>IF(B59="买入",IF(G60&lt;=0,(C59*D59+E59)/C59,(F60*G60+C59*D59+E59)/(G60+C59)),IF(B59="卖出",IF(G60-C59&lt;=0,F60,(F60*G60-C59*D59+E59)/(G60-C59)),""))</f>
        <v/>
      </c>
      <c r="G59" s="8">
        <f>IF(B59="买入",G60+C59,IF(B59="卖出",MAX(0,G60-C59),""))</f>
        <v/>
      </c>
      <c r="H59">
        <f>IF(B59="",H60,IF(B59="买入",H60,IF(B59="卖出",IF(G59=0,0,H60+(D59-F59)*C59-E59),H60)))</f>
        <v/>
      </c>
    </row>
    <row r="60">
      <c r="A60" s="6" t="n"/>
      <c r="B60" s="7" t="n"/>
      <c r="C60" s="7" t="n"/>
      <c r="D60" s="7" t="n"/>
      <c r="E60" s="7" t="n"/>
      <c r="F60" s="8">
        <f>IF(B60="买入",IF(G61&lt;=0,(C60*D60+E60)/C60,(F61*G61+C60*D60+E60)/(G61+C60)),IF(B60="卖出",IF(G61-C60&lt;=0,F61,(F61*G61-C60*D60+E60)/(G61-C60)),""))</f>
        <v/>
      </c>
      <c r="G60" s="8">
        <f>IF(B60="买入",G61+C60,IF(B60="卖出",MAX(0,G61-C60),""))</f>
        <v/>
      </c>
      <c r="H60">
        <f>IF(B60="",H61,IF(B60="买入",H61,IF(B60="卖出",IF(G60=0,0,H61+(D60-F60)*C60-E60),H61)))</f>
        <v/>
      </c>
    </row>
    <row r="61">
      <c r="A61" s="6" t="n"/>
      <c r="B61" s="7" t="n"/>
      <c r="C61" s="7" t="n"/>
      <c r="D61" s="7" t="n"/>
      <c r="E61" s="7" t="n"/>
      <c r="F61" s="8">
        <f>IF(B61="买入",IF(G62&lt;=0,(C61*D61+E61)/C61,(F62*G62+C61*D61+E61)/(G62+C61)),IF(B61="卖出",IF(G62-C61&lt;=0,F62,(F62*G62-C61*D61+E61)/(G62-C61)),""))</f>
        <v/>
      </c>
      <c r="G61" s="8">
        <f>IF(B61="买入",G62+C61,IF(B61="卖出",MAX(0,G62-C61),""))</f>
        <v/>
      </c>
      <c r="H61">
        <f>IF(B61="",H62,IF(B61="买入",H62,IF(B61="卖出",IF(G61=0,0,H62+(D61-F61)*C61-E61),H62)))</f>
        <v/>
      </c>
    </row>
    <row r="62">
      <c r="A62" s="6" t="n"/>
      <c r="B62" s="7" t="n"/>
      <c r="C62" s="7" t="n"/>
      <c r="D62" s="7" t="n"/>
      <c r="E62" s="7" t="n"/>
      <c r="F62" s="8">
        <f>IF(B62="买入",IF(G63&lt;=0,(C62*D62+E62)/C62,(F63*G63+C62*D62+E62)/(G63+C62)),IF(B62="卖出",IF(G63-C62&lt;=0,F63,(F63*G63-C62*D62+E62)/(G63-C62)),""))</f>
        <v/>
      </c>
      <c r="G62" s="8">
        <f>IF(B62="买入",G63+C62,IF(B62="卖出",MAX(0,G63-C62),""))</f>
        <v/>
      </c>
      <c r="H62">
        <f>IF(B62="",H63,IF(B62="买入",H63,IF(B62="卖出",IF(G62=0,0,H63+(D62-F62)*C62-E62),H63)))</f>
        <v/>
      </c>
    </row>
    <row r="63">
      <c r="A63" s="6" t="n"/>
      <c r="B63" s="7" t="n"/>
      <c r="C63" s="7" t="n"/>
      <c r="D63" s="7" t="n"/>
      <c r="E63" s="7" t="n"/>
      <c r="F63" s="8">
        <f>IF(B63="买入",IF(G64&lt;=0,(C63*D63+E63)/C63,(F64*G64+C63*D63+E63)/(G64+C63)),IF(B63="卖出",IF(G64-C63&lt;=0,F64,(F64*G64-C63*D63+E63)/(G64-C63)),""))</f>
        <v/>
      </c>
      <c r="G63" s="8">
        <f>IF(B63="买入",G64+C63,IF(B63="卖出",MAX(0,G64-C63),""))</f>
        <v/>
      </c>
      <c r="H63">
        <f>IF(B63="",H64,IF(B63="买入",H64,IF(B63="卖出",IF(G63=0,0,H64+(D63-F63)*C63-E63),H64)))</f>
        <v/>
      </c>
    </row>
    <row r="64">
      <c r="A64" s="6" t="n"/>
      <c r="B64" s="7" t="n"/>
      <c r="C64" s="7" t="n"/>
      <c r="D64" s="7" t="n"/>
      <c r="E64" s="7" t="n"/>
      <c r="F64" s="8">
        <f>IF(B64="买入",IF(G65&lt;=0,(C64*D64+E64)/C64,(F65*G65+C64*D64+E64)/(G65+C64)),IF(B64="卖出",IF(G65-C64&lt;=0,F65,(F65*G65-C64*D64+E64)/(G65-C64)),""))</f>
        <v/>
      </c>
      <c r="G64" s="8">
        <f>IF(B64="买入",G65+C64,IF(B64="卖出",MAX(0,G65-C64),""))</f>
        <v/>
      </c>
      <c r="H64">
        <f>IF(B64="",H65,IF(B64="买入",H65,IF(B64="卖出",IF(G64=0,0,H65+(D64-F64)*C64-E64),H65)))</f>
        <v/>
      </c>
    </row>
    <row r="65">
      <c r="A65" s="6" t="n"/>
      <c r="B65" s="7" t="n"/>
      <c r="C65" s="7" t="n"/>
      <c r="D65" s="7" t="n"/>
      <c r="E65" s="7" t="n"/>
      <c r="F65" s="8">
        <f>IF(B65="买入",IF(G66&lt;=0,(C65*D65+E65)/C65,(F66*G66+C65*D65+E65)/(G66+C65)),IF(B65="卖出",IF(G66-C65&lt;=0,F66,(F66*G66-C65*D65+E65)/(G66-C65)),""))</f>
        <v/>
      </c>
      <c r="G65" s="8">
        <f>IF(B65="买入",G66+C65,IF(B65="卖出",MAX(0,G66-C65),""))</f>
        <v/>
      </c>
      <c r="H65">
        <f>IF(B65="",H66,IF(B65="买入",H66,IF(B65="卖出",IF(G65=0,0,H66+(D65-F65)*C65-E65),H66)))</f>
        <v/>
      </c>
    </row>
    <row r="66">
      <c r="A66" s="6" t="n"/>
      <c r="B66" s="7" t="n"/>
      <c r="C66" s="7" t="n"/>
      <c r="D66" s="7" t="n"/>
      <c r="E66" s="7" t="n"/>
      <c r="F66" s="8">
        <f>IF(B66="买入",IF(G67&lt;=0,(C66*D66+E66)/C66,(F67*G67+C66*D66+E66)/(G67+C66)),IF(B66="卖出",IF(G67-C66&lt;=0,F67,(F67*G67-C66*D66+E66)/(G67-C66)),""))</f>
        <v/>
      </c>
      <c r="G66" s="8">
        <f>IF(B66="买入",G67+C66,IF(B66="卖出",MAX(0,G67-C66),""))</f>
        <v/>
      </c>
      <c r="H66">
        <f>IF(B66="",H67,IF(B66="买入",H67,IF(B66="卖出",IF(G66=0,0,H67+(D66-F66)*C66-E66),H67)))</f>
        <v/>
      </c>
    </row>
    <row r="67">
      <c r="A67" s="6" t="n"/>
      <c r="B67" s="7" t="n"/>
      <c r="C67" s="7" t="n"/>
      <c r="D67" s="7" t="n"/>
      <c r="E67" s="7" t="n"/>
      <c r="F67" s="8">
        <f>IF(B67="买入",IF(G68&lt;=0,(C67*D67+E67)/C67,(F68*G68+C67*D67+E67)/(G68+C67)),IF(B67="卖出",IF(G68-C67&lt;=0,F68,(F68*G68-C67*D67+E67)/(G68-C67)),""))</f>
        <v/>
      </c>
      <c r="G67" s="8">
        <f>IF(B67="买入",G68+C67,IF(B67="卖出",MAX(0,G68-C67),""))</f>
        <v/>
      </c>
      <c r="H67">
        <f>IF(B67="",H68,IF(B67="买入",H68,IF(B67="卖出",IF(G67=0,0,H68+(D67-F67)*C67-E67),H68)))</f>
        <v/>
      </c>
    </row>
    <row r="68">
      <c r="A68" s="6" t="n"/>
      <c r="B68" s="7" t="n"/>
      <c r="C68" s="7" t="n"/>
      <c r="D68" s="7" t="n"/>
      <c r="E68" s="7" t="n"/>
      <c r="F68" s="8">
        <f>IF(B68="买入",IF(G69&lt;=0,(C68*D68+E68)/C68,(F69*G69+C68*D68+E68)/(G69+C68)),IF(B68="卖出",IF(G69-C68&lt;=0,F69,(F69*G69-C68*D68+E68)/(G69-C68)),""))</f>
        <v/>
      </c>
      <c r="G68" s="8">
        <f>IF(B68="买入",G69+C68,IF(B68="卖出",MAX(0,G69-C68),""))</f>
        <v/>
      </c>
      <c r="H68">
        <f>IF(B68="",H69,IF(B68="买入",H69,IF(B68="卖出",IF(G68=0,0,H69+(D68-F68)*C68-E68),H69)))</f>
        <v/>
      </c>
    </row>
    <row r="69">
      <c r="A69" s="6" t="n"/>
      <c r="B69" s="7" t="n"/>
      <c r="C69" s="7" t="n"/>
      <c r="D69" s="7" t="n"/>
      <c r="E69" s="7" t="n"/>
      <c r="F69" s="8">
        <f>IF(B69="买入",IF(G70&lt;=0,(C69*D69+E69)/C69,(F70*G70+C69*D69+E69)/(G70+C69)),IF(B69="卖出",IF(G70-C69&lt;=0,F70,(F70*G70-C69*D69+E69)/(G70-C69)),""))</f>
        <v/>
      </c>
      <c r="G69" s="8">
        <f>IF(B69="买入",G70+C69,IF(B69="卖出",MAX(0,G70-C69),""))</f>
        <v/>
      </c>
      <c r="H69">
        <f>IF(B69="",H70,IF(B69="买入",H70,IF(B69="卖出",IF(G69=0,0,H70+(D69-F69)*C69-E69),H70)))</f>
        <v/>
      </c>
    </row>
    <row r="70">
      <c r="A70" s="6" t="n"/>
      <c r="B70" s="7" t="n"/>
      <c r="C70" s="7" t="n"/>
      <c r="D70" s="7" t="n"/>
      <c r="E70" s="7" t="n"/>
      <c r="F70" s="8">
        <f>IF(B70="买入",IF(G71&lt;=0,(C70*D70+E70)/C70,(F71*G71+C70*D70+E70)/(G71+C70)),IF(B70="卖出",IF(G71-C70&lt;=0,F71,(F71*G71-C70*D70+E70)/(G71-C70)),""))</f>
        <v/>
      </c>
      <c r="G70" s="8">
        <f>IF(B70="买入",G71+C70,IF(B70="卖出",MAX(0,G71-C70),""))</f>
        <v/>
      </c>
      <c r="H70">
        <f>IF(B70="",H71,IF(B70="买入",H71,IF(B70="卖出",IF(G70=0,0,H71+(D70-F70)*C70-E70),H71)))</f>
        <v/>
      </c>
    </row>
    <row r="71">
      <c r="A71" s="6" t="n"/>
      <c r="B71" s="7" t="n"/>
      <c r="C71" s="7" t="n"/>
      <c r="D71" s="7" t="n"/>
      <c r="E71" s="7" t="n"/>
      <c r="F71" s="8">
        <f>IF(B71="买入",IF(G72&lt;=0,(C71*D71+E71)/C71,(F72*G72+C71*D71+E71)/(G72+C71)),IF(B71="卖出",IF(G72-C71&lt;=0,F72,(F72*G72-C71*D71+E71)/(G72-C71)),""))</f>
        <v/>
      </c>
      <c r="G71" s="8">
        <f>IF(B71="买入",G72+C71,IF(B71="卖出",MAX(0,G72-C71),""))</f>
        <v/>
      </c>
      <c r="H71">
        <f>IF(B71="",H72,IF(B71="买入",H72,IF(B71="卖出",IF(G71=0,0,H72+(D71-F71)*C71-E71),H72)))</f>
        <v/>
      </c>
    </row>
    <row r="72">
      <c r="A72" s="6" t="n"/>
      <c r="B72" s="7" t="n"/>
      <c r="C72" s="7" t="n"/>
      <c r="D72" s="7" t="n"/>
      <c r="E72" s="7" t="n"/>
      <c r="F72" s="8">
        <f>IF(B72="买入",IF(G73&lt;=0,(C72*D72+E72)/C72,(F73*G73+C72*D72+E72)/(G73+C72)),IF(B72="卖出",IF(G73-C72&lt;=0,F73,(F73*G73-C72*D72+E72)/(G73-C72)),""))</f>
        <v/>
      </c>
      <c r="G72" s="8">
        <f>IF(B72="买入",G73+C72,IF(B72="卖出",MAX(0,G73-C72),""))</f>
        <v/>
      </c>
      <c r="H72">
        <f>IF(B72="",H73,IF(B72="买入",H73,IF(B72="卖出",IF(G72=0,0,H73+(D72-F72)*C72-E72),H73)))</f>
        <v/>
      </c>
    </row>
    <row r="73">
      <c r="A73" s="6" t="n"/>
      <c r="B73" s="7" t="n"/>
      <c r="C73" s="7" t="n"/>
      <c r="D73" s="7" t="n"/>
      <c r="E73" s="7" t="n"/>
      <c r="F73" s="8">
        <f>IF(B73="买入",IF(G74&lt;=0,(C73*D73+E73)/C73,(F74*G74+C73*D73+E73)/(G74+C73)),IF(B73="卖出",IF(G74-C73&lt;=0,F74,(F74*G74-C73*D73+E73)/(G74-C73)),""))</f>
        <v/>
      </c>
      <c r="G73" s="8">
        <f>IF(B73="买入",G74+C73,IF(B73="卖出",MAX(0,G74-C73),""))</f>
        <v/>
      </c>
      <c r="H73">
        <f>IF(B73="",H74,IF(B73="买入",H74,IF(B73="卖出",IF(G73=0,0,H74+(D73-F73)*C73-E73),H74)))</f>
        <v/>
      </c>
    </row>
    <row r="74">
      <c r="A74" s="6" t="n"/>
      <c r="B74" s="7" t="n"/>
      <c r="C74" s="7" t="n"/>
      <c r="D74" s="7" t="n"/>
      <c r="E74" s="7" t="n"/>
      <c r="F74" s="8">
        <f>IF(B74="买入",IF(G75&lt;=0,(C74*D74+E74)/C74,(F75*G75+C74*D74+E74)/(G75+C74)),IF(B74="卖出",IF(G75-C74&lt;=0,F75,(F75*G75-C74*D74+E74)/(G75-C74)),""))</f>
        <v/>
      </c>
      <c r="G74" s="8">
        <f>IF(B74="买入",G75+C74,IF(B74="卖出",MAX(0,G75-C74),""))</f>
        <v/>
      </c>
      <c r="H74">
        <f>IF(B74="",H75,IF(B74="买入",H75,IF(B74="卖出",IF(G74=0,0,H75+(D74-F74)*C74-E74),H75)))</f>
        <v/>
      </c>
    </row>
    <row r="75">
      <c r="A75" s="6" t="n"/>
      <c r="B75" s="7" t="n"/>
      <c r="C75" s="7" t="n"/>
      <c r="D75" s="7" t="n"/>
      <c r="E75" s="7" t="n"/>
      <c r="F75" s="8">
        <f>IF(B75="买入",IF(G76&lt;=0,(C75*D75+E75)/C75,(F76*G76+C75*D75+E75)/(G76+C75)),IF(B75="卖出",IF(G76-C75&lt;=0,F76,(F76*G76-C75*D75+E75)/(G76-C75)),""))</f>
        <v/>
      </c>
      <c r="G75" s="8">
        <f>IF(B75="买入",G76+C75,IF(B75="卖出",MAX(0,G76-C75),""))</f>
        <v/>
      </c>
      <c r="H75">
        <f>IF(B75="",H76,IF(B75="买入",H76,IF(B75="卖出",IF(G75=0,0,H76+(D75-F75)*C75-E75),H76)))</f>
        <v/>
      </c>
    </row>
    <row r="76">
      <c r="A76" s="6" t="n"/>
      <c r="B76" s="7" t="n"/>
      <c r="C76" s="7" t="n"/>
      <c r="D76" s="7" t="n"/>
      <c r="E76" s="7" t="n"/>
      <c r="F76" s="8">
        <f>IF(B76="买入",IF(G77&lt;=0,(C76*D76+E76)/C76,(F77*G77+C76*D76+E76)/(G77+C76)),IF(B76="卖出",IF(G77-C76&lt;=0,F77,(F77*G77-C76*D76+E76)/(G77-C76)),""))</f>
        <v/>
      </c>
      <c r="G76" s="8">
        <f>IF(B76="买入",G77+C76,IF(B76="卖出",MAX(0,G77-C76),""))</f>
        <v/>
      </c>
      <c r="H76">
        <f>IF(B76="",H77,IF(B76="买入",H77,IF(B76="卖出",IF(G76=0,0,H77+(D76-F76)*C76-E76),H77)))</f>
        <v/>
      </c>
    </row>
    <row r="77">
      <c r="A77" s="6" t="n"/>
      <c r="B77" s="7" t="n"/>
      <c r="C77" s="7" t="n"/>
      <c r="D77" s="7" t="n"/>
      <c r="E77" s="7" t="n"/>
      <c r="F77" s="8">
        <f>IF(B77="买入",IF(G78&lt;=0,(C77*D77+E77)/C77,(F78*G78+C77*D77+E77)/(G78+C77)),IF(B77="卖出",IF(G78-C77&lt;=0,F78,(F78*G78-C77*D77+E77)/(G78-C77)),""))</f>
        <v/>
      </c>
      <c r="G77" s="8">
        <f>IF(B77="买入",G78+C77,IF(B77="卖出",MAX(0,G78-C77),""))</f>
        <v/>
      </c>
      <c r="H77">
        <f>IF(B77="",H78,IF(B77="买入",H78,IF(B77="卖出",IF(G77=0,0,H78+(D77-F77)*C77-E77),H78)))</f>
        <v/>
      </c>
    </row>
    <row r="78">
      <c r="A78" s="6" t="n"/>
      <c r="B78" s="7" t="n"/>
      <c r="C78" s="7" t="n"/>
      <c r="D78" s="7" t="n"/>
      <c r="E78" s="7" t="n"/>
      <c r="F78" s="8">
        <f>IF(B78="买入",IF(G79&lt;=0,(C78*D78+E78)/C78,(F79*G79+C78*D78+E78)/(G79+C78)),IF(B78="卖出",IF(G79-C78&lt;=0,F79,(F79*G79-C78*D78+E78)/(G79-C78)),""))</f>
        <v/>
      </c>
      <c r="G78" s="8">
        <f>IF(B78="买入",G79+C78,IF(B78="卖出",MAX(0,G79-C78),""))</f>
        <v/>
      </c>
      <c r="H78">
        <f>IF(B78="",H79,IF(B78="买入",H79,IF(B78="卖出",IF(G78=0,0,H79+(D78-F78)*C78-E78),H79)))</f>
        <v/>
      </c>
    </row>
    <row r="79">
      <c r="A79" s="6" t="n"/>
      <c r="B79" s="7" t="n"/>
      <c r="C79" s="7" t="n"/>
      <c r="D79" s="7" t="n"/>
      <c r="E79" s="7" t="n"/>
      <c r="F79" s="8">
        <f>IF(B79="买入",IF(G80&lt;=0,(C79*D79+E79)/C79,(F80*G80+C79*D79+E79)/(G80+C79)),IF(B79="卖出",IF(G80-C79&lt;=0,F80,(F80*G80-C79*D79+E79)/(G80-C79)),""))</f>
        <v/>
      </c>
      <c r="G79" s="8">
        <f>IF(B79="买入",G80+C79,IF(B79="卖出",MAX(0,G80-C79),""))</f>
        <v/>
      </c>
      <c r="H79">
        <f>IF(B79="",H80,IF(B79="买入",H80,IF(B79="卖出",IF(G79=0,0,H80+(D79-F79)*C79-E79),H80)))</f>
        <v/>
      </c>
    </row>
    <row r="80">
      <c r="A80" s="6" t="n"/>
      <c r="B80" s="7" t="n"/>
      <c r="C80" s="7" t="n"/>
      <c r="D80" s="7" t="n"/>
      <c r="E80" s="7" t="n"/>
      <c r="F80" s="8">
        <f>IF(B80="买入",IF(G81&lt;=0,(C80*D80+E80)/C80,(F81*G81+C80*D80+E80)/(G81+C80)),IF(B80="卖出",IF(G81-C80&lt;=0,F81,(F81*G81-C80*D80+E80)/(G81-C80)),""))</f>
        <v/>
      </c>
      <c r="G80" s="8">
        <f>IF(B80="买入",G81+C80,IF(B80="卖出",MAX(0,G81-C80),""))</f>
        <v/>
      </c>
      <c r="H80">
        <f>IF(B80="",H81,IF(B80="买入",H81,IF(B80="卖出",IF(G80=0,0,H81+(D80-F80)*C80-E80),H81)))</f>
        <v/>
      </c>
    </row>
    <row r="81">
      <c r="A81" s="6" t="n"/>
      <c r="B81" s="7" t="n"/>
      <c r="C81" s="7" t="n"/>
      <c r="D81" s="7" t="n"/>
      <c r="E81" s="7" t="n"/>
      <c r="F81" s="8">
        <f>IF(B81="买入",IF(G82&lt;=0,(C81*D81+E81)/C81,(F82*G82+C81*D81+E81)/(G82+C81)),IF(B81="卖出",IF(G82-C81&lt;=0,F82,(F82*G82-C81*D81+E81)/(G82-C81)),""))</f>
        <v/>
      </c>
      <c r="G81" s="8">
        <f>IF(B81="买入",G82+C81,IF(B81="卖出",MAX(0,G82-C81),""))</f>
        <v/>
      </c>
      <c r="H81">
        <f>IF(B81="",H82,IF(B81="买入",H82,IF(B81="卖出",IF(G81=0,0,H82+(D81-F81)*C81-E81),H82)))</f>
        <v/>
      </c>
    </row>
    <row r="82">
      <c r="A82" s="6" t="n"/>
      <c r="B82" s="7" t="n"/>
      <c r="C82" s="7" t="n"/>
      <c r="D82" s="7" t="n"/>
      <c r="E82" s="7" t="n"/>
      <c r="F82" s="8">
        <f>IF(B82="买入",IF(G83&lt;=0,(C82*D82+E82)/C82,(F83*G83+C82*D82+E82)/(G83+C82)),IF(B82="卖出",IF(G83-C82&lt;=0,F83,(F83*G83-C82*D82+E82)/(G83-C82)),""))</f>
        <v/>
      </c>
      <c r="G82" s="8">
        <f>IF(B82="买入",G83+C82,IF(B82="卖出",MAX(0,G83-C82),""))</f>
        <v/>
      </c>
      <c r="H82">
        <f>IF(B82="",H83,IF(B82="买入",H83,IF(B82="卖出",IF(G82=0,0,H83+(D82-F82)*C82-E82),H83)))</f>
        <v/>
      </c>
    </row>
    <row r="83">
      <c r="A83" s="6" t="n"/>
      <c r="B83" s="7" t="n"/>
      <c r="C83" s="7" t="n"/>
      <c r="D83" s="7" t="n"/>
      <c r="E83" s="7" t="n"/>
      <c r="F83" s="8">
        <f>IF(B83="买入",IF(G84&lt;=0,(C83*D83+E83)/C83,(F84*G84+C83*D83+E83)/(G84+C83)),IF(B83="卖出",IF(G84-C83&lt;=0,F84,(F84*G84-C83*D83+E83)/(G84-C83)),""))</f>
        <v/>
      </c>
      <c r="G83" s="8">
        <f>IF(B83="买入",G84+C83,IF(B83="卖出",MAX(0,G84-C83),""))</f>
        <v/>
      </c>
      <c r="H83">
        <f>IF(B83="",H84,IF(B83="买入",H84,IF(B83="卖出",IF(G83=0,0,H84+(D83-F83)*C83-E83),H84)))</f>
        <v/>
      </c>
    </row>
    <row r="84">
      <c r="A84" s="6" t="n"/>
      <c r="B84" s="7" t="n"/>
      <c r="C84" s="7" t="n"/>
      <c r="D84" s="7" t="n"/>
      <c r="E84" s="7" t="n"/>
      <c r="F84" s="8">
        <f>IF(B84="买入",IF(G85&lt;=0,(C84*D84+E84)/C84,(F85*G85+C84*D84+E84)/(G85+C84)),IF(B84="卖出",IF(G85-C84&lt;=0,F85,(F85*G85-C84*D84+E84)/(G85-C84)),""))</f>
        <v/>
      </c>
      <c r="G84" s="8">
        <f>IF(B84="买入",G85+C84,IF(B84="卖出",MAX(0,G85-C84),""))</f>
        <v/>
      </c>
      <c r="H84">
        <f>IF(B84="",H85,IF(B84="买入",H85,IF(B84="卖出",IF(G84=0,0,H85+(D84-F84)*C84-E84),H85)))</f>
        <v/>
      </c>
    </row>
    <row r="85">
      <c r="A85" s="6" t="n"/>
      <c r="B85" s="7" t="n"/>
      <c r="C85" s="7" t="n"/>
      <c r="D85" s="7" t="n"/>
      <c r="E85" s="7" t="n"/>
      <c r="F85" s="8">
        <f>IF(B85="买入",IF(G86&lt;=0,(C85*D85+E85)/C85,(F86*G86+C85*D85+E85)/(G86+C85)),IF(B85="卖出",IF(G86-C85&lt;=0,F86,(F86*G86-C85*D85+E85)/(G86-C85)),""))</f>
        <v/>
      </c>
      <c r="G85" s="8">
        <f>IF(B85="买入",G86+C85,IF(B85="卖出",MAX(0,G86-C85),""))</f>
        <v/>
      </c>
      <c r="H85">
        <f>IF(B85="",H86,IF(B85="买入",H86,IF(B85="卖出",IF(G85=0,0,H86+(D85-F85)*C85-E85),H86)))</f>
        <v/>
      </c>
    </row>
    <row r="86">
      <c r="A86" s="6" t="n"/>
      <c r="B86" s="7" t="n"/>
      <c r="C86" s="7" t="n"/>
      <c r="D86" s="7" t="n"/>
      <c r="E86" s="7" t="n"/>
      <c r="F86" s="8">
        <f>IF(B86="买入",IF(G87&lt;=0,(C86*D86+E86)/C86,(F87*G87+C86*D86+E86)/(G87+C86)),IF(B86="卖出",IF(G87-C86&lt;=0,F87,(F87*G87-C86*D86+E86)/(G87-C86)),""))</f>
        <v/>
      </c>
      <c r="G86" s="8">
        <f>IF(B86="买入",G87+C86,IF(B86="卖出",MAX(0,G87-C86),""))</f>
        <v/>
      </c>
      <c r="H86">
        <f>IF(B86="",H87,IF(B86="买入",H87,IF(B86="卖出",IF(G86=0,0,H87+(D86-F86)*C86-E86),H87)))</f>
        <v/>
      </c>
    </row>
    <row r="87">
      <c r="A87" s="6" t="n"/>
      <c r="B87" s="7" t="n"/>
      <c r="C87" s="7" t="n"/>
      <c r="D87" s="7" t="n"/>
      <c r="E87" s="7" t="n"/>
      <c r="F87" s="8">
        <f>IF(B87="买入",IF(G88&lt;=0,(C87*D87+E87)/C87,(F88*G88+C87*D87+E87)/(G88+C87)),IF(B87="卖出",IF(G88-C87&lt;=0,F88,(F88*G88-C87*D87+E87)/(G88-C87)),""))</f>
        <v/>
      </c>
      <c r="G87" s="8">
        <f>IF(B87="买入",G88+C87,IF(B87="卖出",MAX(0,G88-C87),""))</f>
        <v/>
      </c>
      <c r="H87">
        <f>IF(B87="",H88,IF(B87="买入",H88,IF(B87="卖出",IF(G87=0,0,H88+(D87-F87)*C87-E87),H88)))</f>
        <v/>
      </c>
    </row>
    <row r="88">
      <c r="A88" s="6" t="n"/>
      <c r="B88" s="7" t="n"/>
      <c r="C88" s="7" t="n"/>
      <c r="D88" s="7" t="n"/>
      <c r="E88" s="7" t="n"/>
      <c r="F88" s="8">
        <f>IF(B88="买入",IF(G89&lt;=0,(C88*D88+E88)/C88,(F89*G89+C88*D88+E88)/(G89+C88)),IF(B88="卖出",IF(G89-C88&lt;=0,F89,(F89*G89-C88*D88+E88)/(G89-C88)),""))</f>
        <v/>
      </c>
      <c r="G88" s="8">
        <f>IF(B88="买入",G89+C88,IF(B88="卖出",MAX(0,G89-C88),""))</f>
        <v/>
      </c>
      <c r="H88">
        <f>IF(B88="",H89,IF(B88="买入",H89,IF(B88="卖出",IF(G88=0,0,H89+(D88-F88)*C88-E88),H89)))</f>
        <v/>
      </c>
    </row>
    <row r="89">
      <c r="A89" s="6" t="n"/>
      <c r="B89" s="7" t="n"/>
      <c r="C89" s="7" t="n"/>
      <c r="D89" s="7" t="n"/>
      <c r="E89" s="7" t="n"/>
      <c r="F89" s="8">
        <f>IF(B89="买入",IF(G90&lt;=0,(C89*D89+E89)/C89,(F90*G90+C89*D89+E89)/(G90+C89)),IF(B89="卖出",IF(G90-C89&lt;=0,F90,(F90*G90-C89*D89+E89)/(G90-C89)),""))</f>
        <v/>
      </c>
      <c r="G89" s="8">
        <f>IF(B89="买入",G90+C89,IF(B89="卖出",MAX(0,G90-C89),""))</f>
        <v/>
      </c>
      <c r="H89">
        <f>IF(B89="",H90,IF(B89="买入",H90,IF(B89="卖出",IF(G89=0,0,H90+(D89-F89)*C89-E89),H90)))</f>
        <v/>
      </c>
    </row>
    <row r="90">
      <c r="A90" s="6" t="n"/>
      <c r="B90" s="7" t="n"/>
      <c r="C90" s="7" t="n"/>
      <c r="D90" s="7" t="n"/>
      <c r="E90" s="7" t="n"/>
      <c r="F90" s="8">
        <f>IF(B90="买入",IF(G91&lt;=0,(C90*D90+E90)/C90,(F91*G91+C90*D90+E90)/(G91+C90)),IF(B90="卖出",IF(G91-C90&lt;=0,F91,(F91*G91-C90*D90+E90)/(G91-C90)),""))</f>
        <v/>
      </c>
      <c r="G90" s="8">
        <f>IF(B90="买入",G91+C90,IF(B90="卖出",MAX(0,G91-C90),""))</f>
        <v/>
      </c>
      <c r="H90">
        <f>IF(B90="",H91,IF(B90="买入",H91,IF(B90="卖出",IF(G90=0,0,H91+(D90-F90)*C90-E90),H91)))</f>
        <v/>
      </c>
    </row>
    <row r="91">
      <c r="A91" s="6" t="n"/>
      <c r="B91" s="7" t="n"/>
      <c r="C91" s="7" t="n"/>
      <c r="D91" s="7" t="n"/>
      <c r="E91" s="7" t="n"/>
      <c r="F91" s="8">
        <f>IF(B91="买入",IF(G92&lt;=0,(C91*D91+E91)/C91,(F92*G92+C91*D91+E91)/(G92+C91)),IF(B91="卖出",IF(G92-C91&lt;=0,F92,(F92*G92-C91*D91+E91)/(G92-C91)),""))</f>
        <v/>
      </c>
      <c r="G91" s="8">
        <f>IF(B91="买入",G92+C91,IF(B91="卖出",MAX(0,G92-C91),""))</f>
        <v/>
      </c>
      <c r="H91">
        <f>IF(B91="",H92,IF(B91="买入",H92,IF(B91="卖出",IF(G91=0,0,H92+(D91-F91)*C91-E91),H92)))</f>
        <v/>
      </c>
    </row>
    <row r="92">
      <c r="A92" s="6" t="n"/>
      <c r="B92" s="7" t="n"/>
      <c r="C92" s="7" t="n"/>
      <c r="D92" s="7" t="n"/>
      <c r="E92" s="7" t="n"/>
      <c r="F92" s="8">
        <f>IF(B92="买入",IF(G93&lt;=0,(C92*D92+E92)/C92,(F93*G93+C92*D92+E92)/(G93+C92)),IF(B92="卖出",IF(G93-C92&lt;=0,F93,(F93*G93-C92*D92+E92)/(G93-C92)),""))</f>
        <v/>
      </c>
      <c r="G92" s="8">
        <f>IF(B92="买入",G93+C92,IF(B92="卖出",MAX(0,G93-C92),""))</f>
        <v/>
      </c>
      <c r="H92">
        <f>IF(B92="",H93,IF(B92="买入",H93,IF(B92="卖出",IF(G92=0,0,H93+(D92-F92)*C92-E92),H93)))</f>
        <v/>
      </c>
    </row>
    <row r="93">
      <c r="A93" s="6" t="n"/>
      <c r="B93" s="7" t="n"/>
      <c r="C93" s="7" t="n"/>
      <c r="D93" s="7" t="n"/>
      <c r="E93" s="7" t="n"/>
      <c r="F93" s="8">
        <f>IF(B93="买入",IF(G94&lt;=0,(C93*D93+E93)/C93,(F94*G94+C93*D93+E93)/(G94+C93)),IF(B93="卖出",IF(G94-C93&lt;=0,F94,(F94*G94-C93*D93+E93)/(G94-C93)),""))</f>
        <v/>
      </c>
      <c r="G93" s="8">
        <f>IF(B93="买入",G94+C93,IF(B93="卖出",MAX(0,G94-C93),""))</f>
        <v/>
      </c>
      <c r="H93">
        <f>IF(B93="",H94,IF(B93="买入",H94,IF(B93="卖出",IF(G93=0,0,H94+(D93-F93)*C93-E93),H94)))</f>
        <v/>
      </c>
    </row>
    <row r="94">
      <c r="A94" s="6" t="n"/>
      <c r="B94" s="7" t="n"/>
      <c r="C94" s="7" t="n"/>
      <c r="D94" s="7" t="n"/>
      <c r="E94" s="7" t="n"/>
      <c r="F94" s="8">
        <f>IF(B94="买入",IF(G95&lt;=0,(C94*D94+E94)/C94,(F95*G95+C94*D94+E94)/(G95+C94)),IF(B94="卖出",IF(G95-C94&lt;=0,F95,(F95*G95-C94*D94+E94)/(G95-C94)),""))</f>
        <v/>
      </c>
      <c r="G94" s="8">
        <f>IF(B94="买入",G95+C94,IF(B94="卖出",MAX(0,G95-C94),""))</f>
        <v/>
      </c>
      <c r="H94">
        <f>IF(B94="",H95,IF(B94="买入",H95,IF(B94="卖出",IF(G94=0,0,H95+(D94-F94)*C94-E94),H95)))</f>
        <v/>
      </c>
    </row>
    <row r="95">
      <c r="A95" s="6" t="n"/>
      <c r="B95" s="7" t="n"/>
      <c r="C95" s="7" t="n"/>
      <c r="D95" s="7" t="n"/>
      <c r="E95" s="7" t="n"/>
      <c r="F95" s="8">
        <f>IF(B95="买入",IF(G96&lt;=0,(C95*D95+E95)/C95,(F96*G96+C95*D95+E95)/(G96+C95)),IF(B95="卖出",IF(G96-C95&lt;=0,F96,(F96*G96-C95*D95+E95)/(G96-C95)),""))</f>
        <v/>
      </c>
      <c r="G95" s="8">
        <f>IF(B95="买入",G96+C95,IF(B95="卖出",MAX(0,G96-C95),""))</f>
        <v/>
      </c>
      <c r="H95">
        <f>IF(B95="",H96,IF(B95="买入",H96,IF(B95="卖出",IF(G95=0,0,H96+(D95-F95)*C95-E95),H96)))</f>
        <v/>
      </c>
    </row>
    <row r="96">
      <c r="A96" s="6" t="n"/>
      <c r="B96" s="7" t="n"/>
      <c r="C96" s="7" t="n"/>
      <c r="D96" s="7" t="n"/>
      <c r="E96" s="7" t="n"/>
      <c r="F96" s="8">
        <f>IF(B96="买入",IF(G97&lt;=0,(C96*D96+E96)/C96,(F97*G97+C96*D96+E96)/(G97+C96)),IF(B96="卖出",IF(G97-C96&lt;=0,F97,(F97*G97-C96*D96+E96)/(G97-C96)),""))</f>
        <v/>
      </c>
      <c r="G96" s="8">
        <f>IF(B96="买入",G97+C96,IF(B96="卖出",MAX(0,G97-C96),""))</f>
        <v/>
      </c>
      <c r="H96">
        <f>IF(B96="",H97,IF(B96="买入",H97,IF(B96="卖出",IF(G96=0,0,H97+(D96-F96)*C96-E96),H97)))</f>
        <v/>
      </c>
    </row>
    <row r="97">
      <c r="A97" s="6" t="n"/>
      <c r="B97" s="7" t="n"/>
      <c r="C97" s="7" t="n"/>
      <c r="D97" s="7" t="n"/>
      <c r="E97" s="7" t="n"/>
      <c r="F97" s="8">
        <f>IF(B97="买入",IF(G98&lt;=0,(C97*D97+E97)/C97,(F98*G98+C97*D97+E97)/(G98+C97)),IF(B97="卖出",IF(G98-C97&lt;=0,F98,(F98*G98-C97*D97+E97)/(G98-C97)),""))</f>
        <v/>
      </c>
      <c r="G97" s="8">
        <f>IF(B97="买入",G98+C97,IF(B97="卖出",MAX(0,G98-C97),""))</f>
        <v/>
      </c>
      <c r="H97">
        <f>IF(B97="",H98,IF(B97="买入",H98,IF(B97="卖出",IF(G97=0,0,H98+(D97-F97)*C97-E97),H98)))</f>
        <v/>
      </c>
    </row>
    <row r="98">
      <c r="A98" s="6" t="n"/>
      <c r="B98" s="7" t="n"/>
      <c r="C98" s="7" t="n"/>
      <c r="D98" s="7" t="n"/>
      <c r="E98" s="7" t="n"/>
      <c r="F98" s="8">
        <f>IF(B98="买入",IF(G99&lt;=0,(C98*D98+E98)/C98,(F99*G99+C98*D98+E98)/(G99+C98)),IF(B98="卖出",IF(G99-C98&lt;=0,F99,(F99*G99-C98*D98+E98)/(G99-C98)),""))</f>
        <v/>
      </c>
      <c r="G98" s="8">
        <f>IF(B98="买入",G99+C98,IF(B98="卖出",MAX(0,G99-C98),""))</f>
        <v/>
      </c>
      <c r="H98">
        <f>IF(B98="",H99,IF(B98="买入",H99,IF(B98="卖出",IF(G98=0,0,H99+(D98-F98)*C98-E98),H99)))</f>
        <v/>
      </c>
    </row>
    <row r="99">
      <c r="A99" s="6" t="n"/>
      <c r="B99" s="7" t="n"/>
      <c r="C99" s="7" t="n"/>
      <c r="D99" s="7" t="n"/>
      <c r="E99" s="7" t="n"/>
      <c r="F99" s="8">
        <f>IF(B99="买入",IF(G100&lt;=0,(C99*D99+E99)/C99,(F100*G100+C99*D99+E99)/(G100+C99)),IF(B99="卖出",IF(G100-C99&lt;=0,F100,(F100*G100-C99*D99+E99)/(G100-C99)),""))</f>
        <v/>
      </c>
      <c r="G99" s="8">
        <f>IF(B99="买入",G100+C99,IF(B99="卖出",MAX(0,G100-C99),""))</f>
        <v/>
      </c>
      <c r="H99">
        <f>IF(B99="",H100,IF(B99="买入",H100,IF(B99="卖出",IF(G99=0,0,H100+(D99-F99)*C99-E99),H100)))</f>
        <v/>
      </c>
    </row>
    <row r="100">
      <c r="A100" s="6" t="n"/>
      <c r="B100" s="7" t="n"/>
      <c r="C100" s="7" t="n"/>
      <c r="D100" s="7" t="n"/>
      <c r="E100" s="7" t="n"/>
      <c r="F100" s="8">
        <f>IF(B100="买入",IF(G101&lt;=0,(C100*D100+E100)/C100,(F101*G101+C100*D100+E100)/(G101+C100)),IF(B100="卖出",IF(G101-C100&lt;=0,F101,(F101*G101-C100*D100+E100)/(G101-C100)),""))</f>
        <v/>
      </c>
      <c r="G100" s="8">
        <f>IF(B100="买入",G101+C100,IF(B100="卖出",MAX(0,G101-C100),""))</f>
        <v/>
      </c>
      <c r="H100">
        <f>IF(B100="",H101,IF(B100="买入",H101,IF(B100="卖出",IF(G100=0,0,H101+(D100-F100)*C100-E100),H101)))</f>
        <v/>
      </c>
    </row>
    <row r="101">
      <c r="A101" s="6" t="n"/>
      <c r="B101" s="7" t="n"/>
      <c r="C101" s="7" t="n"/>
      <c r="D101" s="7" t="n"/>
      <c r="E101" s="7" t="n"/>
      <c r="F101" s="8">
        <f>IF(B101="买入",IF(G102&lt;=0,(C101*D101+E101)/C101,(F102*G102+C101*D101+E101)/(G102+C101)),IF(B101="卖出",IF(G102-C101&lt;=0,F102,(F102*G102-C101*D101+E101)/(G102-C101)),""))</f>
        <v/>
      </c>
      <c r="G101" s="8">
        <f>IF(B101="买入",G102+C101,IF(B101="卖出",MAX(0,G102-C101),""))</f>
        <v/>
      </c>
      <c r="H101">
        <f>IF(B101="",0,IF(B101="买入",0,IF(B101="卖出",IF(G101=0,0,(D101-F101)*C101-E101),0)))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11D"/>
  <mergeCells count="5">
    <mergeCell ref="A1:G1"/>
    <mergeCell ref="A3:G3"/>
    <mergeCell ref="A4:G4"/>
    <mergeCell ref="A2:G2"/>
    <mergeCell ref="A5:G5"/>
  </mergeCells>
  <conditionalFormatting sqref="A7:G101">
    <cfRule type="expression" priority="1" dxfId="0">
      <formula>COUNTA($A7:$E7)&gt;0</formula>
    </cfRule>
  </conditionalFormatting>
  <conditionalFormatting sqref="B7:B101">
    <cfRule type="expression" priority="2" dxfId="1">
      <formula>B7="买入"</formula>
    </cfRule>
    <cfRule type="expression" priority="3" dxfId="2">
      <formula>B7="卖出"</formula>
    </cfRule>
  </conditionalFormatting>
  <dataValidations count="1">
    <dataValidation sqref="B7:B101" showDropDown="0" showInputMessage="0" showErrorMessage="0" allowBlank="1" errorTitle="无效的操作" error="请选择&quot;买入&quot;或&quot;卖出&quot;" promptTitle="操作类型" prompt="请从下拉列表中选择" type="list">
      <formula1>"买入,卖出"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2026-06-11T12:55:41Z</dcterms:created>
  <dcterms:modified xsi:type="dcterms:W3CDTF">2026-06-11T12:55:42Z</dcterms:modified>
</cp:coreProperties>
</file>