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O" sheetId="1" state="visible" r:id="rId1"/>
    <sheet name="DRAM" sheetId="2" state="visible" r:id="rId2"/>
    <sheet name="EUV" sheetId="3" state="visible" r:id="rId3"/>
    <sheet name="TSEM" sheetId="4" state="visible" r:id="rId4"/>
    <sheet name="TSLA" sheetId="5" state="visible" r:id="rId5"/>
    <sheet name="V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color rgb="004472C4"/>
    </font>
    <font>
      <b val="1"/>
      <color rgb="00333333"/>
      <sz val="11"/>
    </font>
    <font>
      <b val="1"/>
      <color rgb="0000B050"/>
      <sz val="11"/>
    </font>
    <font>
      <b val="1"/>
      <color rgb="00FF0000"/>
      <sz val="11"/>
    </font>
    <font>
      <b val="1"/>
      <color rgb="00FF6B35"/>
      <sz val="11"/>
    </font>
    <font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E8F4FC"/>
        <bgColor rgb="00E8F4FC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border>
        <left style="thin"/>
        <right style="thin"/>
        <top style="thin"/>
        <bottom style="thin"/>
      </border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2026-06-10</t>
        </is>
      </c>
      <c r="B10" s="10" t="inlineStr">
        <is>
          <t>买入</t>
        </is>
      </c>
      <c r="C10" s="10" t="n">
        <v>9</v>
      </c>
      <c r="D10" s="10" t="n">
        <v>372</v>
      </c>
      <c r="E10" s="10" t="n">
        <v>0</v>
      </c>
      <c r="F10" s="11">
        <f>IF(B10="卖出",IF(H11&lt;=0,"",(D10-G11)*C10-E10),"")</f>
        <v/>
      </c>
      <c r="G10" s="11">
        <f>IF(B10="买入",IF(H11&lt;=0,(C10*D10+E10)/C10,(G11*H11+C10*D10+E10)/(H11+C10)),IF(B10="卖出",IF(H11-C10&lt;=0,G11,(G11*H11-C10*D10+E10)/(H11-C10)),""))</f>
        <v/>
      </c>
      <c r="H10" s="11">
        <f>IF(B10="买入",H11+C10,IF(B10="卖出",MAX(0,H11-C10),""))</f>
        <v/>
      </c>
      <c r="I10">
        <f>IF(B10="",I11,IF(B10="买入",I11,IF(B10="卖出",IF(H10=0,0,I11+F10),I11)))</f>
        <v/>
      </c>
    </row>
    <row r="11">
      <c r="A11" s="9" t="inlineStr">
        <is>
          <t>2026-06-10</t>
        </is>
      </c>
      <c r="B11" s="10" t="inlineStr">
        <is>
          <t>卖出</t>
        </is>
      </c>
      <c r="C11" s="10" t="n">
        <v>4</v>
      </c>
      <c r="D11" s="10" t="n">
        <v>377</v>
      </c>
      <c r="E11" s="10" t="n">
        <v>0.03</v>
      </c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inlineStr">
        <is>
          <t>2026-06-10</t>
        </is>
      </c>
      <c r="B12" s="10" t="inlineStr">
        <is>
          <t>买入</t>
        </is>
      </c>
      <c r="C12" s="10" t="n">
        <v>4</v>
      </c>
      <c r="D12" s="10" t="n">
        <v>376</v>
      </c>
      <c r="E12" s="10" t="n">
        <v>0</v>
      </c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inlineStr">
        <is>
          <t>2026-06-10</t>
        </is>
      </c>
      <c r="B13" s="10" t="inlineStr">
        <is>
          <t>卖出</t>
        </is>
      </c>
      <c r="C13" s="10" t="n">
        <v>4</v>
      </c>
      <c r="D13" s="10" t="n">
        <v>389.09</v>
      </c>
      <c r="E13" s="10" t="n">
        <v>0.03</v>
      </c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inlineStr">
        <is>
          <t>2026-06-09</t>
        </is>
      </c>
      <c r="B14" s="10" t="inlineStr">
        <is>
          <t>买入</t>
        </is>
      </c>
      <c r="C14" s="10" t="n">
        <v>4</v>
      </c>
      <c r="D14" s="10" t="n">
        <v>386</v>
      </c>
      <c r="E14" s="10" t="n">
        <v>0</v>
      </c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inlineStr">
        <is>
          <t>2026-06-08</t>
        </is>
      </c>
      <c r="B15" s="10" t="inlineStr">
        <is>
          <t>卖出</t>
        </is>
      </c>
      <c r="C15" s="10" t="n">
        <v>4</v>
      </c>
      <c r="D15" s="10" t="n">
        <v>399</v>
      </c>
      <c r="E15" s="10" t="n">
        <v>0.03</v>
      </c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inlineStr">
        <is>
          <t>2026-06-05</t>
        </is>
      </c>
      <c r="B16" s="10" t="inlineStr">
        <is>
          <t>买入</t>
        </is>
      </c>
      <c r="C16" s="10" t="n">
        <v>4</v>
      </c>
      <c r="D16" s="10" t="n">
        <v>392</v>
      </c>
      <c r="E16" s="10" t="n">
        <v>0</v>
      </c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inlineStr">
        <is>
          <t>2026-06-05</t>
        </is>
      </c>
      <c r="B17" s="10" t="inlineStr">
        <is>
          <t>卖出</t>
        </is>
      </c>
      <c r="C17" s="10" t="n">
        <v>2</v>
      </c>
      <c r="D17" s="10" t="n">
        <v>397</v>
      </c>
      <c r="E17" s="10" t="n">
        <v>0.02</v>
      </c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inlineStr">
        <is>
          <t>2026-06-05</t>
        </is>
      </c>
      <c r="B18" s="10" t="inlineStr">
        <is>
          <t>买入</t>
        </is>
      </c>
      <c r="C18" s="10" t="n">
        <v>1</v>
      </c>
      <c r="D18" s="10" t="n">
        <v>392.5</v>
      </c>
      <c r="E18" s="10" t="n">
        <v>0</v>
      </c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inlineStr">
        <is>
          <t>2026-06-05</t>
        </is>
      </c>
      <c r="B19" s="10" t="inlineStr">
        <is>
          <t>买入</t>
        </is>
      </c>
      <c r="C19" s="10" t="n">
        <v>1</v>
      </c>
      <c r="D19" s="10" t="n">
        <v>396.27</v>
      </c>
      <c r="E19" s="10" t="n">
        <v>0</v>
      </c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inlineStr">
        <is>
          <t>2026-06-05</t>
        </is>
      </c>
      <c r="B20" s="10" t="inlineStr">
        <is>
          <t>买入</t>
        </is>
      </c>
      <c r="C20" s="10" t="n">
        <v>1</v>
      </c>
      <c r="D20" s="10" t="n">
        <v>398.6828</v>
      </c>
      <c r="E20" s="10" t="n">
        <v>0</v>
      </c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inlineStr">
        <is>
          <t>2026-06-05</t>
        </is>
      </c>
      <c r="B21" s="10" t="inlineStr">
        <is>
          <t>买入</t>
        </is>
      </c>
      <c r="C21" s="10" t="n">
        <v>5</v>
      </c>
      <c r="D21" s="10" t="n">
        <v>401.385</v>
      </c>
      <c r="E21" s="10" t="n">
        <v>0</v>
      </c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inlineStr">
        <is>
          <t>2026-01-02</t>
        </is>
      </c>
      <c r="B22" s="10" t="inlineStr">
        <is>
          <t>卖出</t>
        </is>
      </c>
      <c r="C22" s="10" t="n">
        <v>1.1458</v>
      </c>
      <c r="D22" s="10" t="n">
        <v>353.3514</v>
      </c>
      <c r="E22" s="10" t="n">
        <v>0</v>
      </c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inlineStr">
        <is>
          <t>2025-12-23</t>
        </is>
      </c>
      <c r="B23" s="10" t="inlineStr">
        <is>
          <t>买入</t>
        </is>
      </c>
      <c r="C23" s="10" t="n">
        <v>1</v>
      </c>
      <c r="D23" s="10" t="n">
        <v>349.5</v>
      </c>
      <c r="E23" s="10" t="n">
        <v>0</v>
      </c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inlineStr">
        <is>
          <t>2025-12-23</t>
        </is>
      </c>
      <c r="B24" s="10" t="inlineStr">
        <is>
          <t>买入</t>
        </is>
      </c>
      <c r="C24" s="10" t="n">
        <v>0.0723</v>
      </c>
      <c r="D24" s="10" t="n">
        <v>345.7</v>
      </c>
      <c r="E24" s="10" t="n">
        <v>0</v>
      </c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inlineStr">
        <is>
          <t>2025-12-22</t>
        </is>
      </c>
      <c r="B25" s="10" t="inlineStr">
        <is>
          <t>买入</t>
        </is>
      </c>
      <c r="C25" s="10" t="n">
        <v>0.0735</v>
      </c>
      <c r="D25" s="10" t="n">
        <v>340.0563</v>
      </c>
      <c r="E25" s="10" t="n">
        <v>0</v>
      </c>
      <c r="F25" s="11">
        <f>IF(B25="卖出",(D25-G25)*C25-E25,"")</f>
        <v/>
      </c>
      <c r="G25" s="11">
        <f>IF(B25="买入",(C25*D25+E25)/C25,"")</f>
        <v/>
      </c>
      <c r="H25" s="11">
        <f>IF(B25="买入",C25,IF(B25="卖出",-C25,""))</f>
        <v/>
      </c>
      <c r="I25">
        <f>IF(B25="买入",0,IF(B25="卖出",IF(H25=0,0,F25),0))</f>
        <v/>
      </c>
    </row>
    <row r="26">
      <c r="A26" s="9" t="n"/>
      <c r="B26" s="10" t="n"/>
      <c r="C26" s="10" t="n"/>
      <c r="D26" s="10" t="n"/>
      <c r="E26" s="10" t="n"/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n"/>
      <c r="B27" s="10" t="n"/>
      <c r="C27" s="10" t="n"/>
      <c r="D27" s="10" t="n"/>
      <c r="E27" s="10" t="n"/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n"/>
      <c r="B28" s="10" t="n"/>
      <c r="C28" s="10" t="n"/>
      <c r="D28" s="10" t="n"/>
      <c r="E28" s="10" t="n"/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n"/>
      <c r="B29" s="10" t="n"/>
      <c r="C29" s="10" t="n"/>
      <c r="D29" s="10" t="n"/>
      <c r="E29" s="10" t="n"/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n"/>
      <c r="B30" s="10" t="n"/>
      <c r="C30" s="10" t="n"/>
      <c r="D30" s="10" t="n"/>
      <c r="E30" s="10" t="n"/>
      <c r="F30" s="11">
        <f>IF(B30="卖出",IF(H31&lt;=0,"",(D30-G31)*C30-E30),"")</f>
        <v/>
      </c>
      <c r="G30" s="11">
        <f>IF(B30="买入",IF(H31&lt;=0,(C30*D30+E30)/C30,(G31*H31+C30*D30+E30)/(H31+C30)),IF(B30="卖出",IF(H31-C30&lt;=0,G31,(G31*H31-C30*D30+E30)/(H31-C30)),""))</f>
        <v/>
      </c>
      <c r="H30" s="11">
        <f>IF(B30="买入",H31+C30,IF(B30="卖出",MAX(0,H31-C30),""))</f>
        <v/>
      </c>
      <c r="I30">
        <f>IF(B30="",I31,IF(B30="买入",I31,IF(B30="卖出",IF(H30=0,0,I31+F30),I31)))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2026-05-06</t>
        </is>
      </c>
      <c r="B10" s="10" t="inlineStr">
        <is>
          <t>买入</t>
        </is>
      </c>
      <c r="C10" s="10" t="n">
        <v>20</v>
      </c>
      <c r="D10" s="10" t="n">
        <v>48.8</v>
      </c>
      <c r="E10" s="10" t="n">
        <v>0</v>
      </c>
      <c r="F10" s="11">
        <f>IF(B10="卖出",(D10-G10)*C10-E10,"")</f>
        <v/>
      </c>
      <c r="G10" s="11">
        <f>IF(B10="买入",(C10*D10+E10)/C10,"")</f>
        <v/>
      </c>
      <c r="H10" s="11">
        <f>IF(B10="买入",C10,IF(B10="卖出",-C10,""))</f>
        <v/>
      </c>
      <c r="I10">
        <f>IF(B10="买入",0,IF(B10="卖出",IF(H10=0,0,F10),0))</f>
        <v/>
      </c>
    </row>
    <row r="11">
      <c r="A11" s="9" t="n"/>
      <c r="B11" s="10" t="n"/>
      <c r="C11" s="10" t="n"/>
      <c r="D11" s="10" t="n"/>
      <c r="E11" s="10" t="n"/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n"/>
      <c r="B12" s="10" t="n"/>
      <c r="C12" s="10" t="n"/>
      <c r="D12" s="10" t="n"/>
      <c r="E12" s="10" t="n"/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n"/>
      <c r="B13" s="10" t="n"/>
      <c r="C13" s="10" t="n"/>
      <c r="D13" s="10" t="n"/>
      <c r="E13" s="10" t="n"/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n"/>
      <c r="B14" s="10" t="n"/>
      <c r="C14" s="10" t="n"/>
      <c r="D14" s="10" t="n"/>
      <c r="E14" s="10" t="n"/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n"/>
      <c r="B15" s="10" t="n"/>
      <c r="C15" s="10" t="n"/>
      <c r="D15" s="10" t="n"/>
      <c r="E15" s="10" t="n"/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n"/>
      <c r="B16" s="10" t="n"/>
      <c r="C16" s="10" t="n"/>
      <c r="D16" s="10" t="n"/>
      <c r="E16" s="10" t="n"/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n"/>
      <c r="B17" s="10" t="n"/>
      <c r="C17" s="10" t="n"/>
      <c r="D17" s="10" t="n"/>
      <c r="E17" s="10" t="n"/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n"/>
      <c r="B18" s="10" t="n"/>
      <c r="C18" s="10" t="n"/>
      <c r="D18" s="10" t="n"/>
      <c r="E18" s="10" t="n"/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n"/>
      <c r="B19" s="10" t="n"/>
      <c r="C19" s="10" t="n"/>
      <c r="D19" s="10" t="n"/>
      <c r="E19" s="10" t="n"/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n"/>
      <c r="B20" s="10" t="n"/>
      <c r="C20" s="10" t="n"/>
      <c r="D20" s="10" t="n"/>
      <c r="E20" s="10" t="n"/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n"/>
      <c r="B21" s="10" t="n"/>
      <c r="C21" s="10" t="n"/>
      <c r="D21" s="10" t="n"/>
      <c r="E21" s="10" t="n"/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n"/>
      <c r="B22" s="10" t="n"/>
      <c r="C22" s="10" t="n"/>
      <c r="D22" s="10" t="n"/>
      <c r="E22" s="10" t="n"/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n"/>
      <c r="B23" s="10" t="n"/>
      <c r="C23" s="10" t="n"/>
      <c r="D23" s="10" t="n"/>
      <c r="E23" s="10" t="n"/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n"/>
      <c r="B24" s="10" t="n"/>
      <c r="C24" s="10" t="n"/>
      <c r="D24" s="10" t="n"/>
      <c r="E24" s="10" t="n"/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n"/>
      <c r="B25" s="10" t="n"/>
      <c r="C25" s="10" t="n"/>
      <c r="D25" s="10" t="n"/>
      <c r="E25" s="10" t="n"/>
      <c r="F25" s="11">
        <f>IF(B25="卖出",IF(H26&lt;=0,"",(D25-G26)*C25-E25),"")</f>
        <v/>
      </c>
      <c r="G25" s="11">
        <f>IF(B25="买入",IF(H26&lt;=0,(C25*D25+E25)/C25,(G26*H26+C25*D25+E25)/(H26+C25)),IF(B25="卖出",IF(H26-C25&lt;=0,G26,(G26*H26-C25*D25+E25)/(H26-C25)),""))</f>
        <v/>
      </c>
      <c r="H25" s="11">
        <f>IF(B25="买入",H26+C25,IF(B25="卖出",MAX(0,H26-C25),""))</f>
        <v/>
      </c>
      <c r="I25">
        <f>IF(B25="",I26,IF(B25="买入",I26,IF(B25="卖出",IF(H25=0,0,I26+F25),I26)))</f>
        <v/>
      </c>
    </row>
    <row r="26">
      <c r="A26" s="9" t="n"/>
      <c r="B26" s="10" t="n"/>
      <c r="C26" s="10" t="n"/>
      <c r="D26" s="10" t="n"/>
      <c r="E26" s="10" t="n"/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n"/>
      <c r="B27" s="10" t="n"/>
      <c r="C27" s="10" t="n"/>
      <c r="D27" s="10" t="n"/>
      <c r="E27" s="10" t="n"/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n"/>
      <c r="B28" s="10" t="n"/>
      <c r="C28" s="10" t="n"/>
      <c r="D28" s="10" t="n"/>
      <c r="E28" s="10" t="n"/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n"/>
      <c r="B29" s="10" t="n"/>
      <c r="C29" s="10" t="n"/>
      <c r="D29" s="10" t="n"/>
      <c r="E29" s="10" t="n"/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n"/>
      <c r="B30" s="10" t="n"/>
      <c r="C30" s="10" t="n"/>
      <c r="D30" s="10" t="n"/>
      <c r="E30" s="10" t="n"/>
      <c r="F30" s="11">
        <f>IF(B30="卖出",IF(H31&lt;=0,"",(D30-G31)*C30-E30),"")</f>
        <v/>
      </c>
      <c r="G30" s="11">
        <f>IF(B30="买入",IF(H31&lt;=0,(C30*D30+E30)/C30,(G31*H31+C30*D30+E30)/(H31+C30)),IF(B30="卖出",IF(H31-C30&lt;=0,G31,(G31*H31-C30*D30+E30)/(H31-C30)),""))</f>
        <v/>
      </c>
      <c r="H30" s="11">
        <f>IF(B30="买入",H31+C30,IF(B30="卖出",MAX(0,H31-C30),""))</f>
        <v/>
      </c>
      <c r="I30">
        <f>IF(B30="",I31,IF(B30="买入",I31,IF(B30="卖出",IF(H30=0,0,I31+F30),I31)))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2026-05-20</t>
        </is>
      </c>
      <c r="B10" s="10" t="inlineStr">
        <is>
          <t>买入</t>
        </is>
      </c>
      <c r="C10" s="10" t="n">
        <v>40</v>
      </c>
      <c r="D10" s="10" t="n">
        <v>25.935</v>
      </c>
      <c r="E10" s="10" t="n">
        <v>0</v>
      </c>
      <c r="F10" s="11">
        <f>IF(B10="卖出",(D10-G10)*C10-E10,"")</f>
        <v/>
      </c>
      <c r="G10" s="11">
        <f>IF(B10="买入",(C10*D10+E10)/C10,"")</f>
        <v/>
      </c>
      <c r="H10" s="11">
        <f>IF(B10="买入",C10,IF(B10="卖出",-C10,""))</f>
        <v/>
      </c>
      <c r="I10">
        <f>IF(B10="买入",0,IF(B10="卖出",IF(H10=0,0,F10),0))</f>
        <v/>
      </c>
    </row>
    <row r="11">
      <c r="A11" s="9" t="n"/>
      <c r="B11" s="10" t="n"/>
      <c r="C11" s="10" t="n"/>
      <c r="D11" s="10" t="n"/>
      <c r="E11" s="10" t="n"/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n"/>
      <c r="B12" s="10" t="n"/>
      <c r="C12" s="10" t="n"/>
      <c r="D12" s="10" t="n"/>
      <c r="E12" s="10" t="n"/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n"/>
      <c r="B13" s="10" t="n"/>
      <c r="C13" s="10" t="n"/>
      <c r="D13" s="10" t="n"/>
      <c r="E13" s="10" t="n"/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n"/>
      <c r="B14" s="10" t="n"/>
      <c r="C14" s="10" t="n"/>
      <c r="D14" s="10" t="n"/>
      <c r="E14" s="10" t="n"/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n"/>
      <c r="B15" s="10" t="n"/>
      <c r="C15" s="10" t="n"/>
      <c r="D15" s="10" t="n"/>
      <c r="E15" s="10" t="n"/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n"/>
      <c r="B16" s="10" t="n"/>
      <c r="C16" s="10" t="n"/>
      <c r="D16" s="10" t="n"/>
      <c r="E16" s="10" t="n"/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n"/>
      <c r="B17" s="10" t="n"/>
      <c r="C17" s="10" t="n"/>
      <c r="D17" s="10" t="n"/>
      <c r="E17" s="10" t="n"/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n"/>
      <c r="B18" s="10" t="n"/>
      <c r="C18" s="10" t="n"/>
      <c r="D18" s="10" t="n"/>
      <c r="E18" s="10" t="n"/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n"/>
      <c r="B19" s="10" t="n"/>
      <c r="C19" s="10" t="n"/>
      <c r="D19" s="10" t="n"/>
      <c r="E19" s="10" t="n"/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n"/>
      <c r="B20" s="10" t="n"/>
      <c r="C20" s="10" t="n"/>
      <c r="D20" s="10" t="n"/>
      <c r="E20" s="10" t="n"/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n"/>
      <c r="B21" s="10" t="n"/>
      <c r="C21" s="10" t="n"/>
      <c r="D21" s="10" t="n"/>
      <c r="E21" s="10" t="n"/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n"/>
      <c r="B22" s="10" t="n"/>
      <c r="C22" s="10" t="n"/>
      <c r="D22" s="10" t="n"/>
      <c r="E22" s="10" t="n"/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n"/>
      <c r="B23" s="10" t="n"/>
      <c r="C23" s="10" t="n"/>
      <c r="D23" s="10" t="n"/>
      <c r="E23" s="10" t="n"/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n"/>
      <c r="B24" s="10" t="n"/>
      <c r="C24" s="10" t="n"/>
      <c r="D24" s="10" t="n"/>
      <c r="E24" s="10" t="n"/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n"/>
      <c r="B25" s="10" t="n"/>
      <c r="C25" s="10" t="n"/>
      <c r="D25" s="10" t="n"/>
      <c r="E25" s="10" t="n"/>
      <c r="F25" s="11">
        <f>IF(B25="卖出",IF(H26&lt;=0,"",(D25-G26)*C25-E25),"")</f>
        <v/>
      </c>
      <c r="G25" s="11">
        <f>IF(B25="买入",IF(H26&lt;=0,(C25*D25+E25)/C25,(G26*H26+C25*D25+E25)/(H26+C25)),IF(B25="卖出",IF(H26-C25&lt;=0,G26,(G26*H26-C25*D25+E25)/(H26-C25)),""))</f>
        <v/>
      </c>
      <c r="H25" s="11">
        <f>IF(B25="买入",H26+C25,IF(B25="卖出",MAX(0,H26-C25),""))</f>
        <v/>
      </c>
      <c r="I25">
        <f>IF(B25="",I26,IF(B25="买入",I26,IF(B25="卖出",IF(H25=0,0,I26+F25),I26)))</f>
        <v/>
      </c>
    </row>
    <row r="26">
      <c r="A26" s="9" t="n"/>
      <c r="B26" s="10" t="n"/>
      <c r="C26" s="10" t="n"/>
      <c r="D26" s="10" t="n"/>
      <c r="E26" s="10" t="n"/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n"/>
      <c r="B27" s="10" t="n"/>
      <c r="C27" s="10" t="n"/>
      <c r="D27" s="10" t="n"/>
      <c r="E27" s="10" t="n"/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n"/>
      <c r="B28" s="10" t="n"/>
      <c r="C28" s="10" t="n"/>
      <c r="D28" s="10" t="n"/>
      <c r="E28" s="10" t="n"/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n"/>
      <c r="B29" s="10" t="n"/>
      <c r="C29" s="10" t="n"/>
      <c r="D29" s="10" t="n"/>
      <c r="E29" s="10" t="n"/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n"/>
      <c r="B30" s="10" t="n"/>
      <c r="C30" s="10" t="n"/>
      <c r="D30" s="10" t="n"/>
      <c r="E30" s="10" t="n"/>
      <c r="F30" s="11">
        <f>IF(B30="卖出",IF(H31&lt;=0,"",(D30-G31)*C30-E30),"")</f>
        <v/>
      </c>
      <c r="G30" s="11">
        <f>IF(B30="买入",IF(H31&lt;=0,(C30*D30+E30)/C30,(G31*H31+C30*D30+E30)/(H31+C30)),IF(B30="卖出",IF(H31-C30&lt;=0,G31,(G31*H31-C30*D30+E30)/(H31-C30)),""))</f>
        <v/>
      </c>
      <c r="H30" s="11">
        <f>IF(B30="买入",H31+C30,IF(B30="卖出",MAX(0,H31-C30),""))</f>
        <v/>
      </c>
      <c r="I30">
        <f>IF(B30="",I31,IF(B30="买入",I31,IF(B30="卖出",IF(H30=0,0,I31+F30),I31)))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2026-06-02</t>
        </is>
      </c>
      <c r="B10" s="10" t="inlineStr">
        <is>
          <t>买入</t>
        </is>
      </c>
      <c r="C10" s="10" t="n">
        <v>5</v>
      </c>
      <c r="D10" s="10" t="n">
        <v>258</v>
      </c>
      <c r="E10" s="10" t="n">
        <v>0</v>
      </c>
      <c r="F10" s="11">
        <f>IF(B10="卖出",(D10-G10)*C10-E10,"")</f>
        <v/>
      </c>
      <c r="G10" s="11">
        <f>IF(B10="买入",(C10*D10+E10)/C10,"")</f>
        <v/>
      </c>
      <c r="H10" s="11">
        <f>IF(B10="买入",C10,IF(B10="卖出",-C10,""))</f>
        <v/>
      </c>
      <c r="I10">
        <f>IF(B10="买入",0,IF(B10="卖出",IF(H10=0,0,F10),0))</f>
        <v/>
      </c>
    </row>
    <row r="11">
      <c r="A11" s="9" t="n"/>
      <c r="B11" s="10" t="n"/>
      <c r="C11" s="10" t="n"/>
      <c r="D11" s="10" t="n"/>
      <c r="E11" s="10" t="n"/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n"/>
      <c r="B12" s="10" t="n"/>
      <c r="C12" s="10" t="n"/>
      <c r="D12" s="10" t="n"/>
      <c r="E12" s="10" t="n"/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n"/>
      <c r="B13" s="10" t="n"/>
      <c r="C13" s="10" t="n"/>
      <c r="D13" s="10" t="n"/>
      <c r="E13" s="10" t="n"/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n"/>
      <c r="B14" s="10" t="n"/>
      <c r="C14" s="10" t="n"/>
      <c r="D14" s="10" t="n"/>
      <c r="E14" s="10" t="n"/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n"/>
      <c r="B15" s="10" t="n"/>
      <c r="C15" s="10" t="n"/>
      <c r="D15" s="10" t="n"/>
      <c r="E15" s="10" t="n"/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n"/>
      <c r="B16" s="10" t="n"/>
      <c r="C16" s="10" t="n"/>
      <c r="D16" s="10" t="n"/>
      <c r="E16" s="10" t="n"/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n"/>
      <c r="B17" s="10" t="n"/>
      <c r="C17" s="10" t="n"/>
      <c r="D17" s="10" t="n"/>
      <c r="E17" s="10" t="n"/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n"/>
      <c r="B18" s="10" t="n"/>
      <c r="C18" s="10" t="n"/>
      <c r="D18" s="10" t="n"/>
      <c r="E18" s="10" t="n"/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n"/>
      <c r="B19" s="10" t="n"/>
      <c r="C19" s="10" t="n"/>
      <c r="D19" s="10" t="n"/>
      <c r="E19" s="10" t="n"/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n"/>
      <c r="B20" s="10" t="n"/>
      <c r="C20" s="10" t="n"/>
      <c r="D20" s="10" t="n"/>
      <c r="E20" s="10" t="n"/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n"/>
      <c r="B21" s="10" t="n"/>
      <c r="C21" s="10" t="n"/>
      <c r="D21" s="10" t="n"/>
      <c r="E21" s="10" t="n"/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n"/>
      <c r="B22" s="10" t="n"/>
      <c r="C22" s="10" t="n"/>
      <c r="D22" s="10" t="n"/>
      <c r="E22" s="10" t="n"/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n"/>
      <c r="B23" s="10" t="n"/>
      <c r="C23" s="10" t="n"/>
      <c r="D23" s="10" t="n"/>
      <c r="E23" s="10" t="n"/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n"/>
      <c r="B24" s="10" t="n"/>
      <c r="C24" s="10" t="n"/>
      <c r="D24" s="10" t="n"/>
      <c r="E24" s="10" t="n"/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n"/>
      <c r="B25" s="10" t="n"/>
      <c r="C25" s="10" t="n"/>
      <c r="D25" s="10" t="n"/>
      <c r="E25" s="10" t="n"/>
      <c r="F25" s="11">
        <f>IF(B25="卖出",IF(H26&lt;=0,"",(D25-G26)*C25-E25),"")</f>
        <v/>
      </c>
      <c r="G25" s="11">
        <f>IF(B25="买入",IF(H26&lt;=0,(C25*D25+E25)/C25,(G26*H26+C25*D25+E25)/(H26+C25)),IF(B25="卖出",IF(H26-C25&lt;=0,G26,(G26*H26-C25*D25+E25)/(H26-C25)),""))</f>
        <v/>
      </c>
      <c r="H25" s="11">
        <f>IF(B25="买入",H26+C25,IF(B25="卖出",MAX(0,H26-C25),""))</f>
        <v/>
      </c>
      <c r="I25">
        <f>IF(B25="",I26,IF(B25="买入",I26,IF(B25="卖出",IF(H25=0,0,I26+F25),I26)))</f>
        <v/>
      </c>
    </row>
    <row r="26">
      <c r="A26" s="9" t="n"/>
      <c r="B26" s="10" t="n"/>
      <c r="C26" s="10" t="n"/>
      <c r="D26" s="10" t="n"/>
      <c r="E26" s="10" t="n"/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n"/>
      <c r="B27" s="10" t="n"/>
      <c r="C27" s="10" t="n"/>
      <c r="D27" s="10" t="n"/>
      <c r="E27" s="10" t="n"/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n"/>
      <c r="B28" s="10" t="n"/>
      <c r="C28" s="10" t="n"/>
      <c r="D28" s="10" t="n"/>
      <c r="E28" s="10" t="n"/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n"/>
      <c r="B29" s="10" t="n"/>
      <c r="C29" s="10" t="n"/>
      <c r="D29" s="10" t="n"/>
      <c r="E29" s="10" t="n"/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n"/>
      <c r="B30" s="10" t="n"/>
      <c r="C30" s="10" t="n"/>
      <c r="D30" s="10" t="n"/>
      <c r="E30" s="10" t="n"/>
      <c r="F30" s="11">
        <f>IF(B30="卖出",IF(H31&lt;=0,"",(D30-G31)*C30-E30),"")</f>
        <v/>
      </c>
      <c r="G30" s="11">
        <f>IF(B30="买入",IF(H31&lt;=0,(C30*D30+E30)/C30,(G31*H31+C30*D30+E30)/(H31+C30)),IF(B30="卖出",IF(H31-C30&lt;=0,G31,(G31*H31-C30*D30+E30)/(H31-C30)),""))</f>
        <v/>
      </c>
      <c r="H30" s="11">
        <f>IF(B30="买入",H31+C30,IF(B30="卖出",MAX(0,H31-C30),""))</f>
        <v/>
      </c>
      <c r="I30">
        <f>IF(B30="",I31,IF(B30="买入",I31,IF(B30="卖出",IF(H30=0,0,I31+F30),I31)))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2026-05-11</t>
        </is>
      </c>
      <c r="B10" s="10" t="inlineStr">
        <is>
          <t>卖出</t>
        </is>
      </c>
      <c r="C10" s="10" t="n">
        <v>1.6655</v>
      </c>
      <c r="D10" s="10" t="n">
        <v>437.4422</v>
      </c>
      <c r="E10" s="10" t="n">
        <v>0.02</v>
      </c>
      <c r="F10" s="11">
        <f>IF(B10="卖出",IF(H11&lt;=0,"",(D10-G11)*C10-E10),"")</f>
        <v/>
      </c>
      <c r="G10" s="11">
        <f>IF(B10="买入",IF(H11&lt;=0,(C10*D10+E10)/C10,(G11*H11+C10*D10+E10)/(H11+C10)),IF(B10="卖出",IF(H11-C10&lt;=0,G11,(G11*H11-C10*D10+E10)/(H11-C10)),""))</f>
        <v/>
      </c>
      <c r="H10" s="11">
        <f>IF(B10="买入",H11+C10,IF(B10="卖出",MAX(0,H11-C10),""))</f>
        <v/>
      </c>
      <c r="I10">
        <f>IF(B10="",I11,IF(B10="买入",I11,IF(B10="卖出",IF(H10=0,0,I11+F10),I11)))</f>
        <v/>
      </c>
    </row>
    <row r="11">
      <c r="A11" s="9" t="inlineStr">
        <is>
          <t>2026-04-16</t>
        </is>
      </c>
      <c r="B11" s="10" t="inlineStr">
        <is>
          <t>买入</t>
        </is>
      </c>
      <c r="C11" s="10" t="n">
        <v>0.1285</v>
      </c>
      <c r="D11" s="10" t="n">
        <v>388.9712</v>
      </c>
      <c r="E11" s="10" t="n">
        <v>0</v>
      </c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inlineStr">
        <is>
          <t>2026-04-15</t>
        </is>
      </c>
      <c r="B12" s="10" t="inlineStr">
        <is>
          <t>买入</t>
        </is>
      </c>
      <c r="C12" s="10" t="n">
        <v>0.1348</v>
      </c>
      <c r="D12" s="10" t="n">
        <v>370.9007</v>
      </c>
      <c r="E12" s="10" t="n">
        <v>0</v>
      </c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inlineStr">
        <is>
          <t>2026-04-14</t>
        </is>
      </c>
      <c r="B13" s="10" t="inlineStr">
        <is>
          <t>买入</t>
        </is>
      </c>
      <c r="C13" s="10" t="n">
        <v>0.2785</v>
      </c>
      <c r="D13" s="10" t="n">
        <v>359.06</v>
      </c>
      <c r="E13" s="10" t="n">
        <v>0</v>
      </c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inlineStr">
        <is>
          <t>2026-04-09</t>
        </is>
      </c>
      <c r="B14" s="10" t="inlineStr">
        <is>
          <t>买入</t>
        </is>
      </c>
      <c r="C14" s="10" t="n">
        <v>0.144</v>
      </c>
      <c r="D14" s="10" t="n">
        <v>347.0156</v>
      </c>
      <c r="E14" s="10" t="n">
        <v>0</v>
      </c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inlineStr">
        <is>
          <t>2026-04-07</t>
        </is>
      </c>
      <c r="B15" s="10" t="inlineStr">
        <is>
          <t>买入</t>
        </is>
      </c>
      <c r="C15" s="10" t="n">
        <v>0.148</v>
      </c>
      <c r="D15" s="10" t="n">
        <v>337.6259</v>
      </c>
      <c r="E15" s="10" t="n">
        <v>0</v>
      </c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inlineStr">
        <is>
          <t>2026-03-03</t>
        </is>
      </c>
      <c r="B16" s="10" t="inlineStr">
        <is>
          <t>买入</t>
        </is>
      </c>
      <c r="C16" s="10" t="n">
        <v>0.1276</v>
      </c>
      <c r="D16" s="10" t="n">
        <v>391.5961</v>
      </c>
      <c r="E16" s="10" t="n">
        <v>0</v>
      </c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inlineStr">
        <is>
          <t>2026-02-27</t>
        </is>
      </c>
      <c r="B17" s="10" t="inlineStr">
        <is>
          <t>买入</t>
        </is>
      </c>
      <c r="C17" s="10" t="n">
        <v>0.1233</v>
      </c>
      <c r="D17" s="10" t="n">
        <v>405.255</v>
      </c>
      <c r="E17" s="10" t="n">
        <v>0</v>
      </c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inlineStr">
        <is>
          <t>2026-02-23</t>
        </is>
      </c>
      <c r="B18" s="10" t="inlineStr">
        <is>
          <t>买入</t>
        </is>
      </c>
      <c r="C18" s="10" t="n">
        <v>0.1258</v>
      </c>
      <c r="D18" s="10" t="n">
        <v>397.4323</v>
      </c>
      <c r="E18" s="10" t="n">
        <v>0</v>
      </c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inlineStr">
        <is>
          <t>2026-02-10</t>
        </is>
      </c>
      <c r="B19" s="10" t="inlineStr">
        <is>
          <t>买入</t>
        </is>
      </c>
      <c r="C19" s="10" t="n">
        <v>0.1182</v>
      </c>
      <c r="D19" s="10" t="n">
        <v>422.81</v>
      </c>
      <c r="E19" s="10" t="n">
        <v>0</v>
      </c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inlineStr">
        <is>
          <t>2026-02-06</t>
        </is>
      </c>
      <c r="B20" s="10" t="inlineStr">
        <is>
          <t>买入</t>
        </is>
      </c>
      <c r="C20" s="10" t="n">
        <v>0.121</v>
      </c>
      <c r="D20" s="10" t="n">
        <v>413.2199</v>
      </c>
      <c r="E20" s="10" t="n">
        <v>0</v>
      </c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inlineStr">
        <is>
          <t>2026-02-05</t>
        </is>
      </c>
      <c r="B21" s="10" t="inlineStr">
        <is>
          <t>买入</t>
        </is>
      </c>
      <c r="C21" s="10" t="n">
        <v>0.1258</v>
      </c>
      <c r="D21" s="10" t="n">
        <v>397.382</v>
      </c>
      <c r="E21" s="10" t="n">
        <v>0</v>
      </c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inlineStr">
        <is>
          <t>2026-02-03</t>
        </is>
      </c>
      <c r="B22" s="10" t="inlineStr">
        <is>
          <t>买入</t>
        </is>
      </c>
      <c r="C22" s="10" t="n">
        <v>0.1187</v>
      </c>
      <c r="D22" s="10" t="n">
        <v>421.0846</v>
      </c>
      <c r="E22" s="10" t="n">
        <v>0</v>
      </c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inlineStr">
        <is>
          <t>2026-02-02</t>
        </is>
      </c>
      <c r="B23" s="10" t="inlineStr">
        <is>
          <t>买入</t>
        </is>
      </c>
      <c r="C23" s="10" t="n">
        <v>0.1191</v>
      </c>
      <c r="D23" s="10" t="n">
        <v>419.6699</v>
      </c>
      <c r="E23" s="10" t="n">
        <v>0</v>
      </c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inlineStr">
        <is>
          <t>2026-01-21</t>
        </is>
      </c>
      <c r="B24" s="10" t="inlineStr">
        <is>
          <t>买入</t>
        </is>
      </c>
      <c r="C24" s="10" t="n">
        <v>0.2346</v>
      </c>
      <c r="D24" s="10" t="n">
        <v>426.1163</v>
      </c>
      <c r="E24" s="10" t="n">
        <v>0</v>
      </c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inlineStr">
        <is>
          <t>2026-01-08</t>
        </is>
      </c>
      <c r="B25" s="10" t="inlineStr">
        <is>
          <t>买入</t>
        </is>
      </c>
      <c r="C25" s="10" t="n">
        <v>0.1149</v>
      </c>
      <c r="D25" s="10" t="n">
        <v>435.1186</v>
      </c>
      <c r="E25" s="10" t="n">
        <v>0</v>
      </c>
      <c r="F25" s="11">
        <f>IF(B25="卖出",IF(H26&lt;=0,"",(D25-G26)*C25-E25),"")</f>
        <v/>
      </c>
      <c r="G25" s="11">
        <f>IF(B25="买入",IF(H26&lt;=0,(C25*D25+E25)/C25,(G26*H26+C25*D25+E25)/(H26+C25)),IF(B25="卖出",IF(H26-C25&lt;=0,G26,(G26*H26-C25*D25+E25)/(H26-C25)),""))</f>
        <v/>
      </c>
      <c r="H25" s="11">
        <f>IF(B25="买入",H26+C25,IF(B25="卖出",MAX(0,H26-C25),""))</f>
        <v/>
      </c>
      <c r="I25">
        <f>IF(B25="",I26,IF(B25="买入",I26,IF(B25="卖出",IF(H25=0,0,I26+F25),I26)))</f>
        <v/>
      </c>
    </row>
    <row r="26">
      <c r="A26" s="9" t="inlineStr">
        <is>
          <t>2026-01-07</t>
        </is>
      </c>
      <c r="B26" s="10" t="inlineStr">
        <is>
          <t>买入</t>
        </is>
      </c>
      <c r="C26" s="10" t="n">
        <v>0.0571</v>
      </c>
      <c r="D26" s="10" t="n">
        <v>437.1863</v>
      </c>
      <c r="E26" s="10" t="n">
        <v>0</v>
      </c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inlineStr">
        <is>
          <t>2026-01-06</t>
        </is>
      </c>
      <c r="B27" s="10" t="inlineStr">
        <is>
          <t>买入</t>
        </is>
      </c>
      <c r="C27" s="10" t="n">
        <v>0.1139</v>
      </c>
      <c r="D27" s="10" t="n">
        <v>438.6162</v>
      </c>
      <c r="E27" s="10" t="n">
        <v>0</v>
      </c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inlineStr">
        <is>
          <t>2026-01-02</t>
        </is>
      </c>
      <c r="B28" s="10" t="inlineStr">
        <is>
          <t>买入</t>
        </is>
      </c>
      <c r="C28" s="10" t="n">
        <v>0.113</v>
      </c>
      <c r="D28" s="10" t="n">
        <v>442.3035</v>
      </c>
      <c r="E28" s="10" t="n">
        <v>0</v>
      </c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inlineStr">
        <is>
          <t>2025-12-31</t>
        </is>
      </c>
      <c r="B29" s="10" t="inlineStr">
        <is>
          <t>买入</t>
        </is>
      </c>
      <c r="C29" s="10" t="n">
        <v>0.1101</v>
      </c>
      <c r="D29" s="10" t="n">
        <v>453.7566</v>
      </c>
      <c r="E29" s="10" t="n">
        <v>0</v>
      </c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inlineStr">
        <is>
          <t>2025-12-30</t>
        </is>
      </c>
      <c r="B30" s="10" t="inlineStr">
        <is>
          <t>买入</t>
        </is>
      </c>
      <c r="C30" s="10" t="n">
        <v>0.1086</v>
      </c>
      <c r="D30" s="10" t="n">
        <v>460.3799</v>
      </c>
      <c r="E30" s="10" t="n">
        <v>0</v>
      </c>
      <c r="F30" s="11">
        <f>IF(B30="卖出",(D30-G30)*C30-E30,"")</f>
        <v/>
      </c>
      <c r="G30" s="11">
        <f>IF(B30="买入",(C30*D30+E30)/C30,"")</f>
        <v/>
      </c>
      <c r="H30" s="11">
        <f>IF(B30="买入",C30,IF(B30="卖出",-C30,""))</f>
        <v/>
      </c>
      <c r="I30">
        <f>IF(B30="买入",0,IF(B30="卖出",IF(H30=0,0,F30),0))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hidden="1" width="13" customWidth="1" min="9" max="9"/>
  </cols>
  <sheetData>
    <row r="1" ht="30" customHeight="1">
      <c r="A1" s="1">
        <f>"📈 " &amp; MID(CELL("filename",A1),FIND("]",CELL("filename",A1))+1,100) &amp; " 持仓成本记录"</f>
        <v/>
      </c>
    </row>
    <row r="2" ht="12" customHeight="1">
      <c r="A2" s="2" t="inlineStr">
        <is>
          <t>--------------------------------------------------------------------------------</t>
        </is>
      </c>
    </row>
    <row r="3" ht="20" customHeight="1">
      <c r="A3" s="3" t="inlineStr">
        <is>
          <t>【成本计算公式】</t>
        </is>
      </c>
    </row>
    <row r="4" ht="20" customHeight="1">
      <c r="A4" s="4" t="inlineStr">
        <is>
          <t>🟢 买入成本 = (原成本×原股数 + 买入金额 + 手续费) ÷ (原股数 + 买入股数)</t>
        </is>
      </c>
    </row>
    <row r="5" ht="20" customHeight="1">
      <c r="A5" s="5" t="inlineStr">
        <is>
          <t>🔴 卖出成本 = (原成本×原股数 - 卖出金额 + 手续费) ÷ (原股数 - 卖出股数)</t>
        </is>
      </c>
    </row>
    <row r="6" ht="20" customHeight="1">
      <c r="A6" s="6" t="inlineStr">
        <is>
          <t>💰 盈亏金额 = (卖出价格 - 持仓成本) × 卖出股数 - 手续费</t>
        </is>
      </c>
    </row>
    <row r="7" ht="12" customHeight="1">
      <c r="A7" s="2" t="inlineStr">
        <is>
          <t>--------------------------------------------------------------------------------</t>
        </is>
      </c>
    </row>
    <row r="8" ht="22" customHeight="1">
      <c r="A8" s="7">
        <f>IF(COUNTA(B10:B104)=0,"","⚖️ 盈亏平衡点: $"&amp;TEXT(G10-IFERROR(I10/H10,0),"#,##0.00")&amp;"  (差价: $"&amp;TEXT(-IFERROR(I10/H10,0),"#,##0.00")&amp;")")</f>
        <v/>
      </c>
    </row>
    <row r="9" ht="22" customHeight="1">
      <c r="A9" s="8" t="inlineStr">
        <is>
          <t>日期</t>
        </is>
      </c>
      <c r="B9" s="8" t="inlineStr">
        <is>
          <t>操作</t>
        </is>
      </c>
      <c r="C9" s="8" t="inlineStr">
        <is>
          <t>股数</t>
        </is>
      </c>
      <c r="D9" s="8" t="inlineStr">
        <is>
          <t>价格</t>
        </is>
      </c>
      <c r="E9" s="8" t="inlineStr">
        <is>
          <t>手续费</t>
        </is>
      </c>
      <c r="F9" s="8" t="inlineStr">
        <is>
          <t>盈亏金额</t>
        </is>
      </c>
      <c r="G9" s="8" t="inlineStr">
        <is>
          <t>持仓成本</t>
        </is>
      </c>
      <c r="H9" s="8" t="inlineStr">
        <is>
          <t>累计持仓</t>
        </is>
      </c>
    </row>
    <row r="10">
      <c r="A10" s="9" t="inlineStr">
        <is>
          <t>2026-06-03</t>
        </is>
      </c>
      <c r="B10" s="10" t="inlineStr">
        <is>
          <t>买入</t>
        </is>
      </c>
      <c r="C10" s="10" t="n">
        <v>2</v>
      </c>
      <c r="D10" s="10" t="n">
        <v>341</v>
      </c>
      <c r="E10" s="10" t="n">
        <v>0</v>
      </c>
      <c r="F10" s="11">
        <f>IF(B10="卖出",(D10-G10)*C10-E10,"")</f>
        <v/>
      </c>
      <c r="G10" s="11">
        <f>IF(B10="买入",(C10*D10+E10)/C10,"")</f>
        <v/>
      </c>
      <c r="H10" s="11">
        <f>IF(B10="买入",C10,IF(B10="卖出",-C10,""))</f>
        <v/>
      </c>
      <c r="I10">
        <f>IF(B10="买入",0,IF(B10="卖出",IF(H10=0,0,F10),0))</f>
        <v/>
      </c>
    </row>
    <row r="11">
      <c r="A11" s="9" t="n"/>
      <c r="B11" s="10" t="n"/>
      <c r="C11" s="10" t="n"/>
      <c r="D11" s="10" t="n"/>
      <c r="E11" s="10" t="n"/>
      <c r="F11" s="11">
        <f>IF(B11="卖出",IF(H12&lt;=0,"",(D11-G12)*C11-E11),"")</f>
        <v/>
      </c>
      <c r="G11" s="11">
        <f>IF(B11="买入",IF(H12&lt;=0,(C11*D11+E11)/C11,(G12*H12+C11*D11+E11)/(H12+C11)),IF(B11="卖出",IF(H12-C11&lt;=0,G12,(G12*H12-C11*D11+E11)/(H12-C11)),""))</f>
        <v/>
      </c>
      <c r="H11" s="11">
        <f>IF(B11="买入",H12+C11,IF(B11="卖出",MAX(0,H12-C11),""))</f>
        <v/>
      </c>
      <c r="I11">
        <f>IF(B11="",I12,IF(B11="买入",I12,IF(B11="卖出",IF(H11=0,0,I12+F11),I12)))</f>
        <v/>
      </c>
    </row>
    <row r="12">
      <c r="A12" s="9" t="n"/>
      <c r="B12" s="10" t="n"/>
      <c r="C12" s="10" t="n"/>
      <c r="D12" s="10" t="n"/>
      <c r="E12" s="10" t="n"/>
      <c r="F12" s="11">
        <f>IF(B12="卖出",IF(H13&lt;=0,"",(D12-G13)*C12-E12),"")</f>
        <v/>
      </c>
      <c r="G12" s="11">
        <f>IF(B12="买入",IF(H13&lt;=0,(C12*D12+E12)/C12,(G13*H13+C12*D12+E12)/(H13+C12)),IF(B12="卖出",IF(H13-C12&lt;=0,G13,(G13*H13-C12*D12+E12)/(H13-C12)),""))</f>
        <v/>
      </c>
      <c r="H12" s="11">
        <f>IF(B12="买入",H13+C12,IF(B12="卖出",MAX(0,H13-C12),""))</f>
        <v/>
      </c>
      <c r="I12">
        <f>IF(B12="",I13,IF(B12="买入",I13,IF(B12="卖出",IF(H12=0,0,I13+F12),I13)))</f>
        <v/>
      </c>
    </row>
    <row r="13">
      <c r="A13" s="9" t="n"/>
      <c r="B13" s="10" t="n"/>
      <c r="C13" s="10" t="n"/>
      <c r="D13" s="10" t="n"/>
      <c r="E13" s="10" t="n"/>
      <c r="F13" s="11">
        <f>IF(B13="卖出",IF(H14&lt;=0,"",(D13-G14)*C13-E13),"")</f>
        <v/>
      </c>
      <c r="G13" s="11">
        <f>IF(B13="买入",IF(H14&lt;=0,(C13*D13+E13)/C13,(G14*H14+C13*D13+E13)/(H14+C13)),IF(B13="卖出",IF(H14-C13&lt;=0,G14,(G14*H14-C13*D13+E13)/(H14-C13)),""))</f>
        <v/>
      </c>
      <c r="H13" s="11">
        <f>IF(B13="买入",H14+C13,IF(B13="卖出",MAX(0,H14-C13),""))</f>
        <v/>
      </c>
      <c r="I13">
        <f>IF(B13="",I14,IF(B13="买入",I14,IF(B13="卖出",IF(H13=0,0,I14+F13),I14)))</f>
        <v/>
      </c>
    </row>
    <row r="14">
      <c r="A14" s="9" t="n"/>
      <c r="B14" s="10" t="n"/>
      <c r="C14" s="10" t="n"/>
      <c r="D14" s="10" t="n"/>
      <c r="E14" s="10" t="n"/>
      <c r="F14" s="11">
        <f>IF(B14="卖出",IF(H15&lt;=0,"",(D14-G15)*C14-E14),"")</f>
        <v/>
      </c>
      <c r="G14" s="11">
        <f>IF(B14="买入",IF(H15&lt;=0,(C14*D14+E14)/C14,(G15*H15+C14*D14+E14)/(H15+C14)),IF(B14="卖出",IF(H15-C14&lt;=0,G15,(G15*H15-C14*D14+E14)/(H15-C14)),""))</f>
        <v/>
      </c>
      <c r="H14" s="11">
        <f>IF(B14="买入",H15+C14,IF(B14="卖出",MAX(0,H15-C14),""))</f>
        <v/>
      </c>
      <c r="I14">
        <f>IF(B14="",I15,IF(B14="买入",I15,IF(B14="卖出",IF(H14=0,0,I15+F14),I15)))</f>
        <v/>
      </c>
    </row>
    <row r="15">
      <c r="A15" s="9" t="n"/>
      <c r="B15" s="10" t="n"/>
      <c r="C15" s="10" t="n"/>
      <c r="D15" s="10" t="n"/>
      <c r="E15" s="10" t="n"/>
      <c r="F15" s="11">
        <f>IF(B15="卖出",IF(H16&lt;=0,"",(D15-G16)*C15-E15),"")</f>
        <v/>
      </c>
      <c r="G15" s="11">
        <f>IF(B15="买入",IF(H16&lt;=0,(C15*D15+E15)/C15,(G16*H16+C15*D15+E15)/(H16+C15)),IF(B15="卖出",IF(H16-C15&lt;=0,G16,(G16*H16-C15*D15+E15)/(H16-C15)),""))</f>
        <v/>
      </c>
      <c r="H15" s="11">
        <f>IF(B15="买入",H16+C15,IF(B15="卖出",MAX(0,H16-C15),""))</f>
        <v/>
      </c>
      <c r="I15">
        <f>IF(B15="",I16,IF(B15="买入",I16,IF(B15="卖出",IF(H15=0,0,I16+F15),I16)))</f>
        <v/>
      </c>
    </row>
    <row r="16">
      <c r="A16" s="9" t="n"/>
      <c r="B16" s="10" t="n"/>
      <c r="C16" s="10" t="n"/>
      <c r="D16" s="10" t="n"/>
      <c r="E16" s="10" t="n"/>
      <c r="F16" s="11">
        <f>IF(B16="卖出",IF(H17&lt;=0,"",(D16-G17)*C16-E16),"")</f>
        <v/>
      </c>
      <c r="G16" s="11">
        <f>IF(B16="买入",IF(H17&lt;=0,(C16*D16+E16)/C16,(G17*H17+C16*D16+E16)/(H17+C16)),IF(B16="卖出",IF(H17-C16&lt;=0,G17,(G17*H17-C16*D16+E16)/(H17-C16)),""))</f>
        <v/>
      </c>
      <c r="H16" s="11">
        <f>IF(B16="买入",H17+C16,IF(B16="卖出",MAX(0,H17-C16),""))</f>
        <v/>
      </c>
      <c r="I16">
        <f>IF(B16="",I17,IF(B16="买入",I17,IF(B16="卖出",IF(H16=0,0,I17+F16),I17)))</f>
        <v/>
      </c>
    </row>
    <row r="17">
      <c r="A17" s="9" t="n"/>
      <c r="B17" s="10" t="n"/>
      <c r="C17" s="10" t="n"/>
      <c r="D17" s="10" t="n"/>
      <c r="E17" s="10" t="n"/>
      <c r="F17" s="11">
        <f>IF(B17="卖出",IF(H18&lt;=0,"",(D17-G18)*C17-E17),"")</f>
        <v/>
      </c>
      <c r="G17" s="11">
        <f>IF(B17="买入",IF(H18&lt;=0,(C17*D17+E17)/C17,(G18*H18+C17*D17+E17)/(H18+C17)),IF(B17="卖出",IF(H18-C17&lt;=0,G18,(G18*H18-C17*D17+E17)/(H18-C17)),""))</f>
        <v/>
      </c>
      <c r="H17" s="11">
        <f>IF(B17="买入",H18+C17,IF(B17="卖出",MAX(0,H18-C17),""))</f>
        <v/>
      </c>
      <c r="I17">
        <f>IF(B17="",I18,IF(B17="买入",I18,IF(B17="卖出",IF(H17=0,0,I18+F17),I18)))</f>
        <v/>
      </c>
    </row>
    <row r="18">
      <c r="A18" s="9" t="n"/>
      <c r="B18" s="10" t="n"/>
      <c r="C18" s="10" t="n"/>
      <c r="D18" s="10" t="n"/>
      <c r="E18" s="10" t="n"/>
      <c r="F18" s="11">
        <f>IF(B18="卖出",IF(H19&lt;=0,"",(D18-G19)*C18-E18),"")</f>
        <v/>
      </c>
      <c r="G18" s="11">
        <f>IF(B18="买入",IF(H19&lt;=0,(C18*D18+E18)/C18,(G19*H19+C18*D18+E18)/(H19+C18)),IF(B18="卖出",IF(H19-C18&lt;=0,G19,(G19*H19-C18*D18+E18)/(H19-C18)),""))</f>
        <v/>
      </c>
      <c r="H18" s="11">
        <f>IF(B18="买入",H19+C18,IF(B18="卖出",MAX(0,H19-C18),""))</f>
        <v/>
      </c>
      <c r="I18">
        <f>IF(B18="",I19,IF(B18="买入",I19,IF(B18="卖出",IF(H18=0,0,I19+F18),I19)))</f>
        <v/>
      </c>
    </row>
    <row r="19">
      <c r="A19" s="9" t="n"/>
      <c r="B19" s="10" t="n"/>
      <c r="C19" s="10" t="n"/>
      <c r="D19" s="10" t="n"/>
      <c r="E19" s="10" t="n"/>
      <c r="F19" s="11">
        <f>IF(B19="卖出",IF(H20&lt;=0,"",(D19-G20)*C19-E19),"")</f>
        <v/>
      </c>
      <c r="G19" s="11">
        <f>IF(B19="买入",IF(H20&lt;=0,(C19*D19+E19)/C19,(G20*H20+C19*D19+E19)/(H20+C19)),IF(B19="卖出",IF(H20-C19&lt;=0,G20,(G20*H20-C19*D19+E19)/(H20-C19)),""))</f>
        <v/>
      </c>
      <c r="H19" s="11">
        <f>IF(B19="买入",H20+C19,IF(B19="卖出",MAX(0,H20-C19),""))</f>
        <v/>
      </c>
      <c r="I19">
        <f>IF(B19="",I20,IF(B19="买入",I20,IF(B19="卖出",IF(H19=0,0,I20+F19),I20)))</f>
        <v/>
      </c>
    </row>
    <row r="20">
      <c r="A20" s="9" t="n"/>
      <c r="B20" s="10" t="n"/>
      <c r="C20" s="10" t="n"/>
      <c r="D20" s="10" t="n"/>
      <c r="E20" s="10" t="n"/>
      <c r="F20" s="11">
        <f>IF(B20="卖出",IF(H21&lt;=0,"",(D20-G21)*C20-E20),"")</f>
        <v/>
      </c>
      <c r="G20" s="11">
        <f>IF(B20="买入",IF(H21&lt;=0,(C20*D20+E20)/C20,(G21*H21+C20*D20+E20)/(H21+C20)),IF(B20="卖出",IF(H21-C20&lt;=0,G21,(G21*H21-C20*D20+E20)/(H21-C20)),""))</f>
        <v/>
      </c>
      <c r="H20" s="11">
        <f>IF(B20="买入",H21+C20,IF(B20="卖出",MAX(0,H21-C20),""))</f>
        <v/>
      </c>
      <c r="I20">
        <f>IF(B20="",I21,IF(B20="买入",I21,IF(B20="卖出",IF(H20=0,0,I21+F20),I21)))</f>
        <v/>
      </c>
    </row>
    <row r="21">
      <c r="A21" s="9" t="n"/>
      <c r="B21" s="10" t="n"/>
      <c r="C21" s="10" t="n"/>
      <c r="D21" s="10" t="n"/>
      <c r="E21" s="10" t="n"/>
      <c r="F21" s="11">
        <f>IF(B21="卖出",IF(H22&lt;=0,"",(D21-G22)*C21-E21),"")</f>
        <v/>
      </c>
      <c r="G21" s="11">
        <f>IF(B21="买入",IF(H22&lt;=0,(C21*D21+E21)/C21,(G22*H22+C21*D21+E21)/(H22+C21)),IF(B21="卖出",IF(H22-C21&lt;=0,G22,(G22*H22-C21*D21+E21)/(H22-C21)),""))</f>
        <v/>
      </c>
      <c r="H21" s="11">
        <f>IF(B21="买入",H22+C21,IF(B21="卖出",MAX(0,H22-C21),""))</f>
        <v/>
      </c>
      <c r="I21">
        <f>IF(B21="",I22,IF(B21="买入",I22,IF(B21="卖出",IF(H21=0,0,I22+F21),I22)))</f>
        <v/>
      </c>
    </row>
    <row r="22">
      <c r="A22" s="9" t="n"/>
      <c r="B22" s="10" t="n"/>
      <c r="C22" s="10" t="n"/>
      <c r="D22" s="10" t="n"/>
      <c r="E22" s="10" t="n"/>
      <c r="F22" s="11">
        <f>IF(B22="卖出",IF(H23&lt;=0,"",(D22-G23)*C22-E22),"")</f>
        <v/>
      </c>
      <c r="G22" s="11">
        <f>IF(B22="买入",IF(H23&lt;=0,(C22*D22+E22)/C22,(G23*H23+C22*D22+E22)/(H23+C22)),IF(B22="卖出",IF(H23-C22&lt;=0,G23,(G23*H23-C22*D22+E22)/(H23-C22)),""))</f>
        <v/>
      </c>
      <c r="H22" s="11">
        <f>IF(B22="买入",H23+C22,IF(B22="卖出",MAX(0,H23-C22),""))</f>
        <v/>
      </c>
      <c r="I22">
        <f>IF(B22="",I23,IF(B22="买入",I23,IF(B22="卖出",IF(H22=0,0,I23+F22),I23)))</f>
        <v/>
      </c>
    </row>
    <row r="23">
      <c r="A23" s="9" t="n"/>
      <c r="B23" s="10" t="n"/>
      <c r="C23" s="10" t="n"/>
      <c r="D23" s="10" t="n"/>
      <c r="E23" s="10" t="n"/>
      <c r="F23" s="11">
        <f>IF(B23="卖出",IF(H24&lt;=0,"",(D23-G24)*C23-E23),"")</f>
        <v/>
      </c>
      <c r="G23" s="11">
        <f>IF(B23="买入",IF(H24&lt;=0,(C23*D23+E23)/C23,(G24*H24+C23*D23+E23)/(H24+C23)),IF(B23="卖出",IF(H24-C23&lt;=0,G24,(G24*H24-C23*D23+E23)/(H24-C23)),""))</f>
        <v/>
      </c>
      <c r="H23" s="11">
        <f>IF(B23="买入",H24+C23,IF(B23="卖出",MAX(0,H24-C23),""))</f>
        <v/>
      </c>
      <c r="I23">
        <f>IF(B23="",I24,IF(B23="买入",I24,IF(B23="卖出",IF(H23=0,0,I24+F23),I24)))</f>
        <v/>
      </c>
    </row>
    <row r="24">
      <c r="A24" s="9" t="n"/>
      <c r="B24" s="10" t="n"/>
      <c r="C24" s="10" t="n"/>
      <c r="D24" s="10" t="n"/>
      <c r="E24" s="10" t="n"/>
      <c r="F24" s="11">
        <f>IF(B24="卖出",IF(H25&lt;=0,"",(D24-G25)*C24-E24),"")</f>
        <v/>
      </c>
      <c r="G24" s="11">
        <f>IF(B24="买入",IF(H25&lt;=0,(C24*D24+E24)/C24,(G25*H25+C24*D24+E24)/(H25+C24)),IF(B24="卖出",IF(H25-C24&lt;=0,G25,(G25*H25-C24*D24+E24)/(H25-C24)),""))</f>
        <v/>
      </c>
      <c r="H24" s="11">
        <f>IF(B24="买入",H25+C24,IF(B24="卖出",MAX(0,H25-C24),""))</f>
        <v/>
      </c>
      <c r="I24">
        <f>IF(B24="",I25,IF(B24="买入",I25,IF(B24="卖出",IF(H24=0,0,I25+F24),I25)))</f>
        <v/>
      </c>
    </row>
    <row r="25">
      <c r="A25" s="9" t="n"/>
      <c r="B25" s="10" t="n"/>
      <c r="C25" s="10" t="n"/>
      <c r="D25" s="10" t="n"/>
      <c r="E25" s="10" t="n"/>
      <c r="F25" s="11">
        <f>IF(B25="卖出",IF(H26&lt;=0,"",(D25-G26)*C25-E25),"")</f>
        <v/>
      </c>
      <c r="G25" s="11">
        <f>IF(B25="买入",IF(H26&lt;=0,(C25*D25+E25)/C25,(G26*H26+C25*D25+E25)/(H26+C25)),IF(B25="卖出",IF(H26-C25&lt;=0,G26,(G26*H26-C25*D25+E25)/(H26-C25)),""))</f>
        <v/>
      </c>
      <c r="H25" s="11">
        <f>IF(B25="买入",H26+C25,IF(B25="卖出",MAX(0,H26-C25),""))</f>
        <v/>
      </c>
      <c r="I25">
        <f>IF(B25="",I26,IF(B25="买入",I26,IF(B25="卖出",IF(H25=0,0,I26+F25),I26)))</f>
        <v/>
      </c>
    </row>
    <row r="26">
      <c r="A26" s="9" t="n"/>
      <c r="B26" s="10" t="n"/>
      <c r="C26" s="10" t="n"/>
      <c r="D26" s="10" t="n"/>
      <c r="E26" s="10" t="n"/>
      <c r="F26" s="11">
        <f>IF(B26="卖出",IF(H27&lt;=0,"",(D26-G27)*C26-E26),"")</f>
        <v/>
      </c>
      <c r="G26" s="11">
        <f>IF(B26="买入",IF(H27&lt;=0,(C26*D26+E26)/C26,(G27*H27+C26*D26+E26)/(H27+C26)),IF(B26="卖出",IF(H27-C26&lt;=0,G27,(G27*H27-C26*D26+E26)/(H27-C26)),""))</f>
        <v/>
      </c>
      <c r="H26" s="11">
        <f>IF(B26="买入",H27+C26,IF(B26="卖出",MAX(0,H27-C26),""))</f>
        <v/>
      </c>
      <c r="I26">
        <f>IF(B26="",I27,IF(B26="买入",I27,IF(B26="卖出",IF(H26=0,0,I27+F26),I27)))</f>
        <v/>
      </c>
    </row>
    <row r="27">
      <c r="A27" s="9" t="n"/>
      <c r="B27" s="10" t="n"/>
      <c r="C27" s="10" t="n"/>
      <c r="D27" s="10" t="n"/>
      <c r="E27" s="10" t="n"/>
      <c r="F27" s="11">
        <f>IF(B27="卖出",IF(H28&lt;=0,"",(D27-G28)*C27-E27),"")</f>
        <v/>
      </c>
      <c r="G27" s="11">
        <f>IF(B27="买入",IF(H28&lt;=0,(C27*D27+E27)/C27,(G28*H28+C27*D27+E27)/(H28+C27)),IF(B27="卖出",IF(H28-C27&lt;=0,G28,(G28*H28-C27*D27+E27)/(H28-C27)),""))</f>
        <v/>
      </c>
      <c r="H27" s="11">
        <f>IF(B27="买入",H28+C27,IF(B27="卖出",MAX(0,H28-C27),""))</f>
        <v/>
      </c>
      <c r="I27">
        <f>IF(B27="",I28,IF(B27="买入",I28,IF(B27="卖出",IF(H27=0,0,I28+F27),I28)))</f>
        <v/>
      </c>
    </row>
    <row r="28">
      <c r="A28" s="9" t="n"/>
      <c r="B28" s="10" t="n"/>
      <c r="C28" s="10" t="n"/>
      <c r="D28" s="10" t="n"/>
      <c r="E28" s="10" t="n"/>
      <c r="F28" s="11">
        <f>IF(B28="卖出",IF(H29&lt;=0,"",(D28-G29)*C28-E28),"")</f>
        <v/>
      </c>
      <c r="G28" s="11">
        <f>IF(B28="买入",IF(H29&lt;=0,(C28*D28+E28)/C28,(G29*H29+C28*D28+E28)/(H29+C28)),IF(B28="卖出",IF(H29-C28&lt;=0,G29,(G29*H29-C28*D28+E28)/(H29-C28)),""))</f>
        <v/>
      </c>
      <c r="H28" s="11">
        <f>IF(B28="买入",H29+C28,IF(B28="卖出",MAX(0,H29-C28),""))</f>
        <v/>
      </c>
      <c r="I28">
        <f>IF(B28="",I29,IF(B28="买入",I29,IF(B28="卖出",IF(H28=0,0,I29+F28),I29)))</f>
        <v/>
      </c>
    </row>
    <row r="29">
      <c r="A29" s="9" t="n"/>
      <c r="B29" s="10" t="n"/>
      <c r="C29" s="10" t="n"/>
      <c r="D29" s="10" t="n"/>
      <c r="E29" s="10" t="n"/>
      <c r="F29" s="11">
        <f>IF(B29="卖出",IF(H30&lt;=0,"",(D29-G30)*C29-E29),"")</f>
        <v/>
      </c>
      <c r="G29" s="11">
        <f>IF(B29="买入",IF(H30&lt;=0,(C29*D29+E29)/C29,(G30*H30+C29*D29+E29)/(H30+C29)),IF(B29="卖出",IF(H30-C29&lt;=0,G30,(G30*H30-C29*D29+E29)/(H30-C29)),""))</f>
        <v/>
      </c>
      <c r="H29" s="11">
        <f>IF(B29="买入",H30+C29,IF(B29="卖出",MAX(0,H30-C29),""))</f>
        <v/>
      </c>
      <c r="I29">
        <f>IF(B29="",I30,IF(B29="买入",I30,IF(B29="卖出",IF(H29=0,0,I30+F29),I30)))</f>
        <v/>
      </c>
    </row>
    <row r="30">
      <c r="A30" s="9" t="n"/>
      <c r="B30" s="10" t="n"/>
      <c r="C30" s="10" t="n"/>
      <c r="D30" s="10" t="n"/>
      <c r="E30" s="10" t="n"/>
      <c r="F30" s="11">
        <f>IF(B30="卖出",IF(H31&lt;=0,"",(D30-G31)*C30-E30),"")</f>
        <v/>
      </c>
      <c r="G30" s="11">
        <f>IF(B30="买入",IF(H31&lt;=0,(C30*D30+E30)/C30,(G31*H31+C30*D30+E30)/(H31+C30)),IF(B30="卖出",IF(H31-C30&lt;=0,G31,(G31*H31-C30*D30+E30)/(H31-C30)),""))</f>
        <v/>
      </c>
      <c r="H30" s="11">
        <f>IF(B30="买入",H31+C30,IF(B30="卖出",MAX(0,H31-C30),""))</f>
        <v/>
      </c>
      <c r="I30">
        <f>IF(B30="",I31,IF(B30="买入",I31,IF(B30="卖出",IF(H30=0,0,I31+F30),I31)))</f>
        <v/>
      </c>
    </row>
    <row r="31">
      <c r="A31" s="9" t="n"/>
      <c r="B31" s="10" t="n"/>
      <c r="C31" s="10" t="n"/>
      <c r="D31" s="10" t="n"/>
      <c r="E31" s="10" t="n"/>
      <c r="F31" s="11">
        <f>IF(B31="卖出",IF(H32&lt;=0,"",(D31-G32)*C31-E31),"")</f>
        <v/>
      </c>
      <c r="G31" s="11">
        <f>IF(B31="买入",IF(H32&lt;=0,(C31*D31+E31)/C31,(G32*H32+C31*D31+E31)/(H32+C31)),IF(B31="卖出",IF(H32-C31&lt;=0,G32,(G32*H32-C31*D31+E31)/(H32-C31)),""))</f>
        <v/>
      </c>
      <c r="H31" s="11">
        <f>IF(B31="买入",H32+C31,IF(B31="卖出",MAX(0,H32-C31),""))</f>
        <v/>
      </c>
      <c r="I31">
        <f>IF(B31="",I32,IF(B31="买入",I32,IF(B31="卖出",IF(H31=0,0,I32+F31),I32)))</f>
        <v/>
      </c>
    </row>
    <row r="32">
      <c r="A32" s="9" t="n"/>
      <c r="B32" s="10" t="n"/>
      <c r="C32" s="10" t="n"/>
      <c r="D32" s="10" t="n"/>
      <c r="E32" s="10" t="n"/>
      <c r="F32" s="11">
        <f>IF(B32="卖出",IF(H33&lt;=0,"",(D32-G33)*C32-E32),"")</f>
        <v/>
      </c>
      <c r="G32" s="11">
        <f>IF(B32="买入",IF(H33&lt;=0,(C32*D32+E32)/C32,(G33*H33+C32*D32+E32)/(H33+C32)),IF(B32="卖出",IF(H33-C32&lt;=0,G33,(G33*H33-C32*D32+E32)/(H33-C32)),""))</f>
        <v/>
      </c>
      <c r="H32" s="11">
        <f>IF(B32="买入",H33+C32,IF(B32="卖出",MAX(0,H33-C32),""))</f>
        <v/>
      </c>
      <c r="I32">
        <f>IF(B32="",I33,IF(B32="买入",I33,IF(B32="卖出",IF(H32=0,0,I33+F32),I33)))</f>
        <v/>
      </c>
    </row>
    <row r="33">
      <c r="A33" s="9" t="n"/>
      <c r="B33" s="10" t="n"/>
      <c r="C33" s="10" t="n"/>
      <c r="D33" s="10" t="n"/>
      <c r="E33" s="10" t="n"/>
      <c r="F33" s="11">
        <f>IF(B33="卖出",IF(H34&lt;=0,"",(D33-G34)*C33-E33),"")</f>
        <v/>
      </c>
      <c r="G33" s="11">
        <f>IF(B33="买入",IF(H34&lt;=0,(C33*D33+E33)/C33,(G34*H34+C33*D33+E33)/(H34+C33)),IF(B33="卖出",IF(H34-C33&lt;=0,G34,(G34*H34-C33*D33+E33)/(H34-C33)),""))</f>
        <v/>
      </c>
      <c r="H33" s="11">
        <f>IF(B33="买入",H34+C33,IF(B33="卖出",MAX(0,H34-C33),""))</f>
        <v/>
      </c>
      <c r="I33">
        <f>IF(B33="",I34,IF(B33="买入",I34,IF(B33="卖出",IF(H33=0,0,I34+F33),I34)))</f>
        <v/>
      </c>
    </row>
    <row r="34">
      <c r="A34" s="9" t="n"/>
      <c r="B34" s="10" t="n"/>
      <c r="C34" s="10" t="n"/>
      <c r="D34" s="10" t="n"/>
      <c r="E34" s="10" t="n"/>
      <c r="F34" s="11">
        <f>IF(B34="卖出",IF(H35&lt;=0,"",(D34-G35)*C34-E34),"")</f>
        <v/>
      </c>
      <c r="G34" s="11">
        <f>IF(B34="买入",IF(H35&lt;=0,(C34*D34+E34)/C34,(G35*H35+C34*D34+E34)/(H35+C34)),IF(B34="卖出",IF(H35-C34&lt;=0,G35,(G35*H35-C34*D34+E34)/(H35-C34)),""))</f>
        <v/>
      </c>
      <c r="H34" s="11">
        <f>IF(B34="买入",H35+C34,IF(B34="卖出",MAX(0,H35-C34),""))</f>
        <v/>
      </c>
      <c r="I34">
        <f>IF(B34="",I35,IF(B34="买入",I35,IF(B34="卖出",IF(H34=0,0,I35+F34),I35)))</f>
        <v/>
      </c>
    </row>
    <row r="35">
      <c r="A35" s="9" t="n"/>
      <c r="B35" s="10" t="n"/>
      <c r="C35" s="10" t="n"/>
      <c r="D35" s="10" t="n"/>
      <c r="E35" s="10" t="n"/>
      <c r="F35" s="11">
        <f>IF(B35="卖出",IF(H36&lt;=0,"",(D35-G36)*C35-E35),"")</f>
        <v/>
      </c>
      <c r="G35" s="11">
        <f>IF(B35="买入",IF(H36&lt;=0,(C35*D35+E35)/C35,(G36*H36+C35*D35+E35)/(H36+C35)),IF(B35="卖出",IF(H36-C35&lt;=0,G36,(G36*H36-C35*D35+E35)/(H36-C35)),""))</f>
        <v/>
      </c>
      <c r="H35" s="11">
        <f>IF(B35="买入",H36+C35,IF(B35="卖出",MAX(0,H36-C35),""))</f>
        <v/>
      </c>
      <c r="I35">
        <f>IF(B35="",I36,IF(B35="买入",I36,IF(B35="卖出",IF(H35=0,0,I36+F35),I36)))</f>
        <v/>
      </c>
    </row>
    <row r="36">
      <c r="A36" s="9" t="n"/>
      <c r="B36" s="10" t="n"/>
      <c r="C36" s="10" t="n"/>
      <c r="D36" s="10" t="n"/>
      <c r="E36" s="10" t="n"/>
      <c r="F36" s="11">
        <f>IF(B36="卖出",IF(H37&lt;=0,"",(D36-G37)*C36-E36),"")</f>
        <v/>
      </c>
      <c r="G36" s="11">
        <f>IF(B36="买入",IF(H37&lt;=0,(C36*D36+E36)/C36,(G37*H37+C36*D36+E36)/(H37+C36)),IF(B36="卖出",IF(H37-C36&lt;=0,G37,(G37*H37-C36*D36+E36)/(H37-C36)),""))</f>
        <v/>
      </c>
      <c r="H36" s="11">
        <f>IF(B36="买入",H37+C36,IF(B36="卖出",MAX(0,H37-C36),""))</f>
        <v/>
      </c>
      <c r="I36">
        <f>IF(B36="",I37,IF(B36="买入",I37,IF(B36="卖出",IF(H36=0,0,I37+F36),I37)))</f>
        <v/>
      </c>
    </row>
    <row r="37">
      <c r="A37" s="9" t="n"/>
      <c r="B37" s="10" t="n"/>
      <c r="C37" s="10" t="n"/>
      <c r="D37" s="10" t="n"/>
      <c r="E37" s="10" t="n"/>
      <c r="F37" s="11">
        <f>IF(B37="卖出",IF(H38&lt;=0,"",(D37-G38)*C37-E37),"")</f>
        <v/>
      </c>
      <c r="G37" s="11">
        <f>IF(B37="买入",IF(H38&lt;=0,(C37*D37+E37)/C37,(G38*H38+C37*D37+E37)/(H38+C37)),IF(B37="卖出",IF(H38-C37&lt;=0,G38,(G38*H38-C37*D37+E37)/(H38-C37)),""))</f>
        <v/>
      </c>
      <c r="H37" s="11">
        <f>IF(B37="买入",H38+C37,IF(B37="卖出",MAX(0,H38-C37),""))</f>
        <v/>
      </c>
      <c r="I37">
        <f>IF(B37="",I38,IF(B37="买入",I38,IF(B37="卖出",IF(H37=0,0,I38+F37),I38)))</f>
        <v/>
      </c>
    </row>
    <row r="38">
      <c r="A38" s="9" t="n"/>
      <c r="B38" s="10" t="n"/>
      <c r="C38" s="10" t="n"/>
      <c r="D38" s="10" t="n"/>
      <c r="E38" s="10" t="n"/>
      <c r="F38" s="11">
        <f>IF(B38="卖出",IF(H39&lt;=0,"",(D38-G39)*C38-E38),"")</f>
        <v/>
      </c>
      <c r="G38" s="11">
        <f>IF(B38="买入",IF(H39&lt;=0,(C38*D38+E38)/C38,(G39*H39+C38*D38+E38)/(H39+C38)),IF(B38="卖出",IF(H39-C38&lt;=0,G39,(G39*H39-C38*D38+E38)/(H39-C38)),""))</f>
        <v/>
      </c>
      <c r="H38" s="11">
        <f>IF(B38="买入",H39+C38,IF(B38="卖出",MAX(0,H39-C38),""))</f>
        <v/>
      </c>
      <c r="I38">
        <f>IF(B38="",I39,IF(B38="买入",I39,IF(B38="卖出",IF(H38=0,0,I39+F38),I39)))</f>
        <v/>
      </c>
    </row>
    <row r="39">
      <c r="A39" s="9" t="n"/>
      <c r="B39" s="10" t="n"/>
      <c r="C39" s="10" t="n"/>
      <c r="D39" s="10" t="n"/>
      <c r="E39" s="10" t="n"/>
      <c r="F39" s="11">
        <f>IF(B39="卖出",IF(H40&lt;=0,"",(D39-G40)*C39-E39),"")</f>
        <v/>
      </c>
      <c r="G39" s="11">
        <f>IF(B39="买入",IF(H40&lt;=0,(C39*D39+E39)/C39,(G40*H40+C39*D39+E39)/(H40+C39)),IF(B39="卖出",IF(H40-C39&lt;=0,G40,(G40*H40-C39*D39+E39)/(H40-C39)),""))</f>
        <v/>
      </c>
      <c r="H39" s="11">
        <f>IF(B39="买入",H40+C39,IF(B39="卖出",MAX(0,H40-C39),""))</f>
        <v/>
      </c>
      <c r="I39">
        <f>IF(B39="",I40,IF(B39="买入",I40,IF(B39="卖出",IF(H39=0,0,I40+F39),I40)))</f>
        <v/>
      </c>
    </row>
    <row r="40">
      <c r="A40" s="9" t="n"/>
      <c r="B40" s="10" t="n"/>
      <c r="C40" s="10" t="n"/>
      <c r="D40" s="10" t="n"/>
      <c r="E40" s="10" t="n"/>
      <c r="F40" s="11">
        <f>IF(B40="卖出",IF(H41&lt;=0,"",(D40-G41)*C40-E40),"")</f>
        <v/>
      </c>
      <c r="G40" s="11">
        <f>IF(B40="买入",IF(H41&lt;=0,(C40*D40+E40)/C40,(G41*H41+C40*D40+E40)/(H41+C40)),IF(B40="卖出",IF(H41-C40&lt;=0,G41,(G41*H41-C40*D40+E40)/(H41-C40)),""))</f>
        <v/>
      </c>
      <c r="H40" s="11">
        <f>IF(B40="买入",H41+C40,IF(B40="卖出",MAX(0,H41-C40),""))</f>
        <v/>
      </c>
      <c r="I40">
        <f>IF(B40="",I41,IF(B40="买入",I41,IF(B40="卖出",IF(H40=0,0,I41+F40),I41)))</f>
        <v/>
      </c>
    </row>
    <row r="41">
      <c r="A41" s="9" t="n"/>
      <c r="B41" s="10" t="n"/>
      <c r="C41" s="10" t="n"/>
      <c r="D41" s="10" t="n"/>
      <c r="E41" s="10" t="n"/>
      <c r="F41" s="11">
        <f>IF(B41="卖出",IF(H42&lt;=0,"",(D41-G42)*C41-E41),"")</f>
        <v/>
      </c>
      <c r="G41" s="11">
        <f>IF(B41="买入",IF(H42&lt;=0,(C41*D41+E41)/C41,(G42*H42+C41*D41+E41)/(H42+C41)),IF(B41="卖出",IF(H42-C41&lt;=0,G42,(G42*H42-C41*D41+E41)/(H42-C41)),""))</f>
        <v/>
      </c>
      <c r="H41" s="11">
        <f>IF(B41="买入",H42+C41,IF(B41="卖出",MAX(0,H42-C41),""))</f>
        <v/>
      </c>
      <c r="I41">
        <f>IF(B41="",I42,IF(B41="买入",I42,IF(B41="卖出",IF(H41=0,0,I42+F41),I42)))</f>
        <v/>
      </c>
    </row>
    <row r="42">
      <c r="A42" s="9" t="n"/>
      <c r="B42" s="10" t="n"/>
      <c r="C42" s="10" t="n"/>
      <c r="D42" s="10" t="n"/>
      <c r="E42" s="10" t="n"/>
      <c r="F42" s="11">
        <f>IF(B42="卖出",IF(H43&lt;=0,"",(D42-G43)*C42-E42),"")</f>
        <v/>
      </c>
      <c r="G42" s="11">
        <f>IF(B42="买入",IF(H43&lt;=0,(C42*D42+E42)/C42,(G43*H43+C42*D42+E42)/(H43+C42)),IF(B42="卖出",IF(H43-C42&lt;=0,G43,(G43*H43-C42*D42+E42)/(H43-C42)),""))</f>
        <v/>
      </c>
      <c r="H42" s="11">
        <f>IF(B42="买入",H43+C42,IF(B42="卖出",MAX(0,H43-C42),""))</f>
        <v/>
      </c>
      <c r="I42">
        <f>IF(B42="",I43,IF(B42="买入",I43,IF(B42="卖出",IF(H42=0,0,I43+F42),I43)))</f>
        <v/>
      </c>
    </row>
    <row r="43">
      <c r="A43" s="9" t="n"/>
      <c r="B43" s="10" t="n"/>
      <c r="C43" s="10" t="n"/>
      <c r="D43" s="10" t="n"/>
      <c r="E43" s="10" t="n"/>
      <c r="F43" s="11">
        <f>IF(B43="卖出",IF(H44&lt;=0,"",(D43-G44)*C43-E43),"")</f>
        <v/>
      </c>
      <c r="G43" s="11">
        <f>IF(B43="买入",IF(H44&lt;=0,(C43*D43+E43)/C43,(G44*H44+C43*D43+E43)/(H44+C43)),IF(B43="卖出",IF(H44-C43&lt;=0,G44,(G44*H44-C43*D43+E43)/(H44-C43)),""))</f>
        <v/>
      </c>
      <c r="H43" s="11">
        <f>IF(B43="买入",H44+C43,IF(B43="卖出",MAX(0,H44-C43),""))</f>
        <v/>
      </c>
      <c r="I43">
        <f>IF(B43="",I44,IF(B43="买入",I44,IF(B43="卖出",IF(H43=0,0,I44+F43),I44)))</f>
        <v/>
      </c>
    </row>
    <row r="44">
      <c r="A44" s="9" t="n"/>
      <c r="B44" s="10" t="n"/>
      <c r="C44" s="10" t="n"/>
      <c r="D44" s="10" t="n"/>
      <c r="E44" s="10" t="n"/>
      <c r="F44" s="11">
        <f>IF(B44="卖出",IF(H45&lt;=0,"",(D44-G45)*C44-E44),"")</f>
        <v/>
      </c>
      <c r="G44" s="11">
        <f>IF(B44="买入",IF(H45&lt;=0,(C44*D44+E44)/C44,(G45*H45+C44*D44+E44)/(H45+C44)),IF(B44="卖出",IF(H45-C44&lt;=0,G45,(G45*H45-C44*D44+E44)/(H45-C44)),""))</f>
        <v/>
      </c>
      <c r="H44" s="11">
        <f>IF(B44="买入",H45+C44,IF(B44="卖出",MAX(0,H45-C44),""))</f>
        <v/>
      </c>
      <c r="I44">
        <f>IF(B44="",I45,IF(B44="买入",I45,IF(B44="卖出",IF(H44=0,0,I45+F44),I45)))</f>
        <v/>
      </c>
    </row>
    <row r="45">
      <c r="A45" s="9" t="n"/>
      <c r="B45" s="10" t="n"/>
      <c r="C45" s="10" t="n"/>
      <c r="D45" s="10" t="n"/>
      <c r="E45" s="10" t="n"/>
      <c r="F45" s="11">
        <f>IF(B45="卖出",IF(H46&lt;=0,"",(D45-G46)*C45-E45),"")</f>
        <v/>
      </c>
      <c r="G45" s="11">
        <f>IF(B45="买入",IF(H46&lt;=0,(C45*D45+E45)/C45,(G46*H46+C45*D45+E45)/(H46+C45)),IF(B45="卖出",IF(H46-C45&lt;=0,G46,(G46*H46-C45*D45+E45)/(H46-C45)),""))</f>
        <v/>
      </c>
      <c r="H45" s="11">
        <f>IF(B45="买入",H46+C45,IF(B45="卖出",MAX(0,H46-C45),""))</f>
        <v/>
      </c>
      <c r="I45">
        <f>IF(B45="",I46,IF(B45="买入",I46,IF(B45="卖出",IF(H45=0,0,I46+F45),I46)))</f>
        <v/>
      </c>
    </row>
    <row r="46">
      <c r="A46" s="9" t="n"/>
      <c r="B46" s="10" t="n"/>
      <c r="C46" s="10" t="n"/>
      <c r="D46" s="10" t="n"/>
      <c r="E46" s="10" t="n"/>
      <c r="F46" s="11">
        <f>IF(B46="卖出",IF(H47&lt;=0,"",(D46-G47)*C46-E46),"")</f>
        <v/>
      </c>
      <c r="G46" s="11">
        <f>IF(B46="买入",IF(H47&lt;=0,(C46*D46+E46)/C46,(G47*H47+C46*D46+E46)/(H47+C46)),IF(B46="卖出",IF(H47-C46&lt;=0,G47,(G47*H47-C46*D46+E46)/(H47-C46)),""))</f>
        <v/>
      </c>
      <c r="H46" s="11">
        <f>IF(B46="买入",H47+C46,IF(B46="卖出",MAX(0,H47-C46),""))</f>
        <v/>
      </c>
      <c r="I46">
        <f>IF(B46="",I47,IF(B46="买入",I47,IF(B46="卖出",IF(H46=0,0,I47+F46),I47)))</f>
        <v/>
      </c>
    </row>
    <row r="47">
      <c r="A47" s="9" t="n"/>
      <c r="B47" s="10" t="n"/>
      <c r="C47" s="10" t="n"/>
      <c r="D47" s="10" t="n"/>
      <c r="E47" s="10" t="n"/>
      <c r="F47" s="11">
        <f>IF(B47="卖出",IF(H48&lt;=0,"",(D47-G48)*C47-E47),"")</f>
        <v/>
      </c>
      <c r="G47" s="11">
        <f>IF(B47="买入",IF(H48&lt;=0,(C47*D47+E47)/C47,(G48*H48+C47*D47+E47)/(H48+C47)),IF(B47="卖出",IF(H48-C47&lt;=0,G48,(G48*H48-C47*D47+E47)/(H48-C47)),""))</f>
        <v/>
      </c>
      <c r="H47" s="11">
        <f>IF(B47="买入",H48+C47,IF(B47="卖出",MAX(0,H48-C47),""))</f>
        <v/>
      </c>
      <c r="I47">
        <f>IF(B47="",I48,IF(B47="买入",I48,IF(B47="卖出",IF(H47=0,0,I48+F47),I48)))</f>
        <v/>
      </c>
    </row>
    <row r="48">
      <c r="A48" s="9" t="n"/>
      <c r="B48" s="10" t="n"/>
      <c r="C48" s="10" t="n"/>
      <c r="D48" s="10" t="n"/>
      <c r="E48" s="10" t="n"/>
      <c r="F48" s="11">
        <f>IF(B48="卖出",IF(H49&lt;=0,"",(D48-G49)*C48-E48),"")</f>
        <v/>
      </c>
      <c r="G48" s="11">
        <f>IF(B48="买入",IF(H49&lt;=0,(C48*D48+E48)/C48,(G49*H49+C48*D48+E48)/(H49+C48)),IF(B48="卖出",IF(H49-C48&lt;=0,G49,(G49*H49-C48*D48+E48)/(H49-C48)),""))</f>
        <v/>
      </c>
      <c r="H48" s="11">
        <f>IF(B48="买入",H49+C48,IF(B48="卖出",MAX(0,H49-C48),""))</f>
        <v/>
      </c>
      <c r="I48">
        <f>IF(B48="",I49,IF(B48="买入",I49,IF(B48="卖出",IF(H48=0,0,I49+F48),I49)))</f>
        <v/>
      </c>
    </row>
    <row r="49">
      <c r="A49" s="9" t="n"/>
      <c r="B49" s="10" t="n"/>
      <c r="C49" s="10" t="n"/>
      <c r="D49" s="10" t="n"/>
      <c r="E49" s="10" t="n"/>
      <c r="F49" s="11">
        <f>IF(B49="卖出",IF(H50&lt;=0,"",(D49-G50)*C49-E49),"")</f>
        <v/>
      </c>
      <c r="G49" s="11">
        <f>IF(B49="买入",IF(H50&lt;=0,(C49*D49+E49)/C49,(G50*H50+C49*D49+E49)/(H50+C49)),IF(B49="卖出",IF(H50-C49&lt;=0,G50,(G50*H50-C49*D49+E49)/(H50-C49)),""))</f>
        <v/>
      </c>
      <c r="H49" s="11">
        <f>IF(B49="买入",H50+C49,IF(B49="卖出",MAX(0,H50-C49),""))</f>
        <v/>
      </c>
      <c r="I49">
        <f>IF(B49="",I50,IF(B49="买入",I50,IF(B49="卖出",IF(H49=0,0,I50+F49),I50)))</f>
        <v/>
      </c>
    </row>
    <row r="50">
      <c r="A50" s="9" t="n"/>
      <c r="B50" s="10" t="n"/>
      <c r="C50" s="10" t="n"/>
      <c r="D50" s="10" t="n"/>
      <c r="E50" s="10" t="n"/>
      <c r="F50" s="11">
        <f>IF(B50="卖出",IF(H51&lt;=0,"",(D50-G51)*C50-E50),"")</f>
        <v/>
      </c>
      <c r="G50" s="11">
        <f>IF(B50="买入",IF(H51&lt;=0,(C50*D50+E50)/C50,(G51*H51+C50*D50+E50)/(H51+C50)),IF(B50="卖出",IF(H51-C50&lt;=0,G51,(G51*H51-C50*D50+E50)/(H51-C50)),""))</f>
        <v/>
      </c>
      <c r="H50" s="11">
        <f>IF(B50="买入",H51+C50,IF(B50="卖出",MAX(0,H51-C50),""))</f>
        <v/>
      </c>
      <c r="I50">
        <f>IF(B50="",I51,IF(B50="买入",I51,IF(B50="卖出",IF(H50=0,0,I51+F50),I51)))</f>
        <v/>
      </c>
    </row>
    <row r="51">
      <c r="A51" s="9" t="n"/>
      <c r="B51" s="10" t="n"/>
      <c r="C51" s="10" t="n"/>
      <c r="D51" s="10" t="n"/>
      <c r="E51" s="10" t="n"/>
      <c r="F51" s="11">
        <f>IF(B51="卖出",IF(H52&lt;=0,"",(D51-G52)*C51-E51),"")</f>
        <v/>
      </c>
      <c r="G51" s="11">
        <f>IF(B51="买入",IF(H52&lt;=0,(C51*D51+E51)/C51,(G52*H52+C51*D51+E51)/(H52+C51)),IF(B51="卖出",IF(H52-C51&lt;=0,G52,(G52*H52-C51*D51+E51)/(H52-C51)),""))</f>
        <v/>
      </c>
      <c r="H51" s="11">
        <f>IF(B51="买入",H52+C51,IF(B51="卖出",MAX(0,H52-C51),""))</f>
        <v/>
      </c>
      <c r="I51">
        <f>IF(B51="",I52,IF(B51="买入",I52,IF(B51="卖出",IF(H51=0,0,I52+F51),I52)))</f>
        <v/>
      </c>
    </row>
    <row r="52">
      <c r="A52" s="9" t="n"/>
      <c r="B52" s="10" t="n"/>
      <c r="C52" s="10" t="n"/>
      <c r="D52" s="10" t="n"/>
      <c r="E52" s="10" t="n"/>
      <c r="F52" s="11">
        <f>IF(B52="卖出",IF(H53&lt;=0,"",(D52-G53)*C52-E52),"")</f>
        <v/>
      </c>
      <c r="G52" s="11">
        <f>IF(B52="买入",IF(H53&lt;=0,(C52*D52+E52)/C52,(G53*H53+C52*D52+E52)/(H53+C52)),IF(B52="卖出",IF(H53-C52&lt;=0,G53,(G53*H53-C52*D52+E52)/(H53-C52)),""))</f>
        <v/>
      </c>
      <c r="H52" s="11">
        <f>IF(B52="买入",H53+C52,IF(B52="卖出",MAX(0,H53-C52),""))</f>
        <v/>
      </c>
      <c r="I52">
        <f>IF(B52="",I53,IF(B52="买入",I53,IF(B52="卖出",IF(H52=0,0,I53+F52),I53)))</f>
        <v/>
      </c>
    </row>
    <row r="53">
      <c r="A53" s="9" t="n"/>
      <c r="B53" s="10" t="n"/>
      <c r="C53" s="10" t="n"/>
      <c r="D53" s="10" t="n"/>
      <c r="E53" s="10" t="n"/>
      <c r="F53" s="11">
        <f>IF(B53="卖出",IF(H54&lt;=0,"",(D53-G54)*C53-E53),"")</f>
        <v/>
      </c>
      <c r="G53" s="11">
        <f>IF(B53="买入",IF(H54&lt;=0,(C53*D53+E53)/C53,(G54*H54+C53*D53+E53)/(H54+C53)),IF(B53="卖出",IF(H54-C53&lt;=0,G54,(G54*H54-C53*D53+E53)/(H54-C53)),""))</f>
        <v/>
      </c>
      <c r="H53" s="11">
        <f>IF(B53="买入",H54+C53,IF(B53="卖出",MAX(0,H54-C53),""))</f>
        <v/>
      </c>
      <c r="I53">
        <f>IF(B53="",I54,IF(B53="买入",I54,IF(B53="卖出",IF(H53=0,0,I54+F53),I54)))</f>
        <v/>
      </c>
    </row>
    <row r="54">
      <c r="A54" s="9" t="n"/>
      <c r="B54" s="10" t="n"/>
      <c r="C54" s="10" t="n"/>
      <c r="D54" s="10" t="n"/>
      <c r="E54" s="10" t="n"/>
      <c r="F54" s="11">
        <f>IF(B54="卖出",IF(H55&lt;=0,"",(D54-G55)*C54-E54),"")</f>
        <v/>
      </c>
      <c r="G54" s="11">
        <f>IF(B54="买入",IF(H55&lt;=0,(C54*D54+E54)/C54,(G55*H55+C54*D54+E54)/(H55+C54)),IF(B54="卖出",IF(H55-C54&lt;=0,G55,(G55*H55-C54*D54+E54)/(H55-C54)),""))</f>
        <v/>
      </c>
      <c r="H54" s="11">
        <f>IF(B54="买入",H55+C54,IF(B54="卖出",MAX(0,H55-C54),""))</f>
        <v/>
      </c>
      <c r="I54">
        <f>IF(B54="",I55,IF(B54="买入",I55,IF(B54="卖出",IF(H54=0,0,I55+F54),I55)))</f>
        <v/>
      </c>
    </row>
    <row r="55">
      <c r="A55" s="9" t="n"/>
      <c r="B55" s="10" t="n"/>
      <c r="C55" s="10" t="n"/>
      <c r="D55" s="10" t="n"/>
      <c r="E55" s="10" t="n"/>
      <c r="F55" s="11">
        <f>IF(B55="卖出",IF(H56&lt;=0,"",(D55-G56)*C55-E55),"")</f>
        <v/>
      </c>
      <c r="G55" s="11">
        <f>IF(B55="买入",IF(H56&lt;=0,(C55*D55+E55)/C55,(G56*H56+C55*D55+E55)/(H56+C55)),IF(B55="卖出",IF(H56-C55&lt;=0,G56,(G56*H56-C55*D55+E55)/(H56-C55)),""))</f>
        <v/>
      </c>
      <c r="H55" s="11">
        <f>IF(B55="买入",H56+C55,IF(B55="卖出",MAX(0,H56-C55),""))</f>
        <v/>
      </c>
      <c r="I55">
        <f>IF(B55="",I56,IF(B55="买入",I56,IF(B55="卖出",IF(H55=0,0,I56+F55),I56)))</f>
        <v/>
      </c>
    </row>
    <row r="56">
      <c r="A56" s="9" t="n"/>
      <c r="B56" s="10" t="n"/>
      <c r="C56" s="10" t="n"/>
      <c r="D56" s="10" t="n"/>
      <c r="E56" s="10" t="n"/>
      <c r="F56" s="11">
        <f>IF(B56="卖出",IF(H57&lt;=0,"",(D56-G57)*C56-E56),"")</f>
        <v/>
      </c>
      <c r="G56" s="11">
        <f>IF(B56="买入",IF(H57&lt;=0,(C56*D56+E56)/C56,(G57*H57+C56*D56+E56)/(H57+C56)),IF(B56="卖出",IF(H57-C56&lt;=0,G57,(G57*H57-C56*D56+E56)/(H57-C56)),""))</f>
        <v/>
      </c>
      <c r="H56" s="11">
        <f>IF(B56="买入",H57+C56,IF(B56="卖出",MAX(0,H57-C56),""))</f>
        <v/>
      </c>
      <c r="I56">
        <f>IF(B56="",I57,IF(B56="买入",I57,IF(B56="卖出",IF(H56=0,0,I57+F56),I57)))</f>
        <v/>
      </c>
    </row>
    <row r="57">
      <c r="A57" s="9" t="n"/>
      <c r="B57" s="10" t="n"/>
      <c r="C57" s="10" t="n"/>
      <c r="D57" s="10" t="n"/>
      <c r="E57" s="10" t="n"/>
      <c r="F57" s="11">
        <f>IF(B57="卖出",IF(H58&lt;=0,"",(D57-G58)*C57-E57),"")</f>
        <v/>
      </c>
      <c r="G57" s="11">
        <f>IF(B57="买入",IF(H58&lt;=0,(C57*D57+E57)/C57,(G58*H58+C57*D57+E57)/(H58+C57)),IF(B57="卖出",IF(H58-C57&lt;=0,G58,(G58*H58-C57*D57+E57)/(H58-C57)),""))</f>
        <v/>
      </c>
      <c r="H57" s="11">
        <f>IF(B57="买入",H58+C57,IF(B57="卖出",MAX(0,H58-C57),""))</f>
        <v/>
      </c>
      <c r="I57">
        <f>IF(B57="",I58,IF(B57="买入",I58,IF(B57="卖出",IF(H57=0,0,I58+F57),I58)))</f>
        <v/>
      </c>
    </row>
    <row r="58">
      <c r="A58" s="9" t="n"/>
      <c r="B58" s="10" t="n"/>
      <c r="C58" s="10" t="n"/>
      <c r="D58" s="10" t="n"/>
      <c r="E58" s="10" t="n"/>
      <c r="F58" s="11">
        <f>IF(B58="卖出",IF(H59&lt;=0,"",(D58-G59)*C58-E58),"")</f>
        <v/>
      </c>
      <c r="G58" s="11">
        <f>IF(B58="买入",IF(H59&lt;=0,(C58*D58+E58)/C58,(G59*H59+C58*D58+E58)/(H59+C58)),IF(B58="卖出",IF(H59-C58&lt;=0,G59,(G59*H59-C58*D58+E58)/(H59-C58)),""))</f>
        <v/>
      </c>
      <c r="H58" s="11">
        <f>IF(B58="买入",H59+C58,IF(B58="卖出",MAX(0,H59-C58),""))</f>
        <v/>
      </c>
      <c r="I58">
        <f>IF(B58="",I59,IF(B58="买入",I59,IF(B58="卖出",IF(H58=0,0,I59+F58),I59)))</f>
        <v/>
      </c>
    </row>
    <row r="59">
      <c r="A59" s="9" t="n"/>
      <c r="B59" s="10" t="n"/>
      <c r="C59" s="10" t="n"/>
      <c r="D59" s="10" t="n"/>
      <c r="E59" s="10" t="n"/>
      <c r="F59" s="11">
        <f>IF(B59="卖出",IF(H60&lt;=0,"",(D59-G60)*C59-E59),"")</f>
        <v/>
      </c>
      <c r="G59" s="11">
        <f>IF(B59="买入",IF(H60&lt;=0,(C59*D59+E59)/C59,(G60*H60+C59*D59+E59)/(H60+C59)),IF(B59="卖出",IF(H60-C59&lt;=0,G60,(G60*H60-C59*D59+E59)/(H60-C59)),""))</f>
        <v/>
      </c>
      <c r="H59" s="11">
        <f>IF(B59="买入",H60+C59,IF(B59="卖出",MAX(0,H60-C59),""))</f>
        <v/>
      </c>
      <c r="I59">
        <f>IF(B59="",I60,IF(B59="买入",I60,IF(B59="卖出",IF(H59=0,0,I60+F59),I60)))</f>
        <v/>
      </c>
    </row>
    <row r="60">
      <c r="A60" s="9" t="n"/>
      <c r="B60" s="10" t="n"/>
      <c r="C60" s="10" t="n"/>
      <c r="D60" s="10" t="n"/>
      <c r="E60" s="10" t="n"/>
      <c r="F60" s="11">
        <f>IF(B60="卖出",IF(H61&lt;=0,"",(D60-G61)*C60-E60),"")</f>
        <v/>
      </c>
      <c r="G60" s="11">
        <f>IF(B60="买入",IF(H61&lt;=0,(C60*D60+E60)/C60,(G61*H61+C60*D60+E60)/(H61+C60)),IF(B60="卖出",IF(H61-C60&lt;=0,G61,(G61*H61-C60*D60+E60)/(H61-C60)),""))</f>
        <v/>
      </c>
      <c r="H60" s="11">
        <f>IF(B60="买入",H61+C60,IF(B60="卖出",MAX(0,H61-C60),""))</f>
        <v/>
      </c>
      <c r="I60">
        <f>IF(B60="",I61,IF(B60="买入",I61,IF(B60="卖出",IF(H60=0,0,I61+F60),I61)))</f>
        <v/>
      </c>
    </row>
    <row r="61">
      <c r="A61" s="9" t="n"/>
      <c r="B61" s="10" t="n"/>
      <c r="C61" s="10" t="n"/>
      <c r="D61" s="10" t="n"/>
      <c r="E61" s="10" t="n"/>
      <c r="F61" s="11">
        <f>IF(B61="卖出",IF(H62&lt;=0,"",(D61-G62)*C61-E61),"")</f>
        <v/>
      </c>
      <c r="G61" s="11">
        <f>IF(B61="买入",IF(H62&lt;=0,(C61*D61+E61)/C61,(G62*H62+C61*D61+E61)/(H62+C61)),IF(B61="卖出",IF(H62-C61&lt;=0,G62,(G62*H62-C61*D61+E61)/(H62-C61)),""))</f>
        <v/>
      </c>
      <c r="H61" s="11">
        <f>IF(B61="买入",H62+C61,IF(B61="卖出",MAX(0,H62-C61),""))</f>
        <v/>
      </c>
      <c r="I61">
        <f>IF(B61="",I62,IF(B61="买入",I62,IF(B61="卖出",IF(H61=0,0,I62+F61),I62)))</f>
        <v/>
      </c>
    </row>
    <row r="62">
      <c r="A62" s="9" t="n"/>
      <c r="B62" s="10" t="n"/>
      <c r="C62" s="10" t="n"/>
      <c r="D62" s="10" t="n"/>
      <c r="E62" s="10" t="n"/>
      <c r="F62" s="11">
        <f>IF(B62="卖出",IF(H63&lt;=0,"",(D62-G63)*C62-E62),"")</f>
        <v/>
      </c>
      <c r="G62" s="11">
        <f>IF(B62="买入",IF(H63&lt;=0,(C62*D62+E62)/C62,(G63*H63+C62*D62+E62)/(H63+C62)),IF(B62="卖出",IF(H63-C62&lt;=0,G63,(G63*H63-C62*D62+E62)/(H63-C62)),""))</f>
        <v/>
      </c>
      <c r="H62" s="11">
        <f>IF(B62="买入",H63+C62,IF(B62="卖出",MAX(0,H63-C62),""))</f>
        <v/>
      </c>
      <c r="I62">
        <f>IF(B62="",I63,IF(B62="买入",I63,IF(B62="卖出",IF(H62=0,0,I63+F62),I63)))</f>
        <v/>
      </c>
    </row>
    <row r="63">
      <c r="A63" s="9" t="n"/>
      <c r="B63" s="10" t="n"/>
      <c r="C63" s="10" t="n"/>
      <c r="D63" s="10" t="n"/>
      <c r="E63" s="10" t="n"/>
      <c r="F63" s="11">
        <f>IF(B63="卖出",IF(H64&lt;=0,"",(D63-G64)*C63-E63),"")</f>
        <v/>
      </c>
      <c r="G63" s="11">
        <f>IF(B63="买入",IF(H64&lt;=0,(C63*D63+E63)/C63,(G64*H64+C63*D63+E63)/(H64+C63)),IF(B63="卖出",IF(H64-C63&lt;=0,G64,(G64*H64-C63*D63+E63)/(H64-C63)),""))</f>
        <v/>
      </c>
      <c r="H63" s="11">
        <f>IF(B63="买入",H64+C63,IF(B63="卖出",MAX(0,H64-C63),""))</f>
        <v/>
      </c>
      <c r="I63">
        <f>IF(B63="",I64,IF(B63="买入",I64,IF(B63="卖出",IF(H63=0,0,I64+F63),I64)))</f>
        <v/>
      </c>
    </row>
    <row r="64">
      <c r="A64" s="9" t="n"/>
      <c r="B64" s="10" t="n"/>
      <c r="C64" s="10" t="n"/>
      <c r="D64" s="10" t="n"/>
      <c r="E64" s="10" t="n"/>
      <c r="F64" s="11">
        <f>IF(B64="卖出",IF(H65&lt;=0,"",(D64-G65)*C64-E64),"")</f>
        <v/>
      </c>
      <c r="G64" s="11">
        <f>IF(B64="买入",IF(H65&lt;=0,(C64*D64+E64)/C64,(G65*H65+C64*D64+E64)/(H65+C64)),IF(B64="卖出",IF(H65-C64&lt;=0,G65,(G65*H65-C64*D64+E64)/(H65-C64)),""))</f>
        <v/>
      </c>
      <c r="H64" s="11">
        <f>IF(B64="买入",H65+C64,IF(B64="卖出",MAX(0,H65-C64),""))</f>
        <v/>
      </c>
      <c r="I64">
        <f>IF(B64="",I65,IF(B64="买入",I65,IF(B64="卖出",IF(H64=0,0,I65+F64),I65)))</f>
        <v/>
      </c>
    </row>
    <row r="65">
      <c r="A65" s="9" t="n"/>
      <c r="B65" s="10" t="n"/>
      <c r="C65" s="10" t="n"/>
      <c r="D65" s="10" t="n"/>
      <c r="E65" s="10" t="n"/>
      <c r="F65" s="11">
        <f>IF(B65="卖出",IF(H66&lt;=0,"",(D65-G66)*C65-E65),"")</f>
        <v/>
      </c>
      <c r="G65" s="11">
        <f>IF(B65="买入",IF(H66&lt;=0,(C65*D65+E65)/C65,(G66*H66+C65*D65+E65)/(H66+C65)),IF(B65="卖出",IF(H66-C65&lt;=0,G66,(G66*H66-C65*D65+E65)/(H66-C65)),""))</f>
        <v/>
      </c>
      <c r="H65" s="11">
        <f>IF(B65="买入",H66+C65,IF(B65="卖出",MAX(0,H66-C65),""))</f>
        <v/>
      </c>
      <c r="I65">
        <f>IF(B65="",I66,IF(B65="买入",I66,IF(B65="卖出",IF(H65=0,0,I66+F65),I66)))</f>
        <v/>
      </c>
    </row>
    <row r="66">
      <c r="A66" s="9" t="n"/>
      <c r="B66" s="10" t="n"/>
      <c r="C66" s="10" t="n"/>
      <c r="D66" s="10" t="n"/>
      <c r="E66" s="10" t="n"/>
      <c r="F66" s="11">
        <f>IF(B66="卖出",IF(H67&lt;=0,"",(D66-G67)*C66-E66),"")</f>
        <v/>
      </c>
      <c r="G66" s="11">
        <f>IF(B66="买入",IF(H67&lt;=0,(C66*D66+E66)/C66,(G67*H67+C66*D66+E66)/(H67+C66)),IF(B66="卖出",IF(H67-C66&lt;=0,G67,(G67*H67-C66*D66+E66)/(H67-C66)),""))</f>
        <v/>
      </c>
      <c r="H66" s="11">
        <f>IF(B66="买入",H67+C66,IF(B66="卖出",MAX(0,H67-C66),""))</f>
        <v/>
      </c>
      <c r="I66">
        <f>IF(B66="",I67,IF(B66="买入",I67,IF(B66="卖出",IF(H66=0,0,I67+F66),I67)))</f>
        <v/>
      </c>
    </row>
    <row r="67">
      <c r="A67" s="9" t="n"/>
      <c r="B67" s="10" t="n"/>
      <c r="C67" s="10" t="n"/>
      <c r="D67" s="10" t="n"/>
      <c r="E67" s="10" t="n"/>
      <c r="F67" s="11">
        <f>IF(B67="卖出",IF(H68&lt;=0,"",(D67-G68)*C67-E67),"")</f>
        <v/>
      </c>
      <c r="G67" s="11">
        <f>IF(B67="买入",IF(H68&lt;=0,(C67*D67+E67)/C67,(G68*H68+C67*D67+E67)/(H68+C67)),IF(B67="卖出",IF(H68-C67&lt;=0,G68,(G68*H68-C67*D67+E67)/(H68-C67)),""))</f>
        <v/>
      </c>
      <c r="H67" s="11">
        <f>IF(B67="买入",H68+C67,IF(B67="卖出",MAX(0,H68-C67),""))</f>
        <v/>
      </c>
      <c r="I67">
        <f>IF(B67="",I68,IF(B67="买入",I68,IF(B67="卖出",IF(H67=0,0,I68+F67),I68)))</f>
        <v/>
      </c>
    </row>
    <row r="68">
      <c r="A68" s="9" t="n"/>
      <c r="B68" s="10" t="n"/>
      <c r="C68" s="10" t="n"/>
      <c r="D68" s="10" t="n"/>
      <c r="E68" s="10" t="n"/>
      <c r="F68" s="11">
        <f>IF(B68="卖出",IF(H69&lt;=0,"",(D68-G69)*C68-E68),"")</f>
        <v/>
      </c>
      <c r="G68" s="11">
        <f>IF(B68="买入",IF(H69&lt;=0,(C68*D68+E68)/C68,(G69*H69+C68*D68+E68)/(H69+C68)),IF(B68="卖出",IF(H69-C68&lt;=0,G69,(G69*H69-C68*D68+E68)/(H69-C68)),""))</f>
        <v/>
      </c>
      <c r="H68" s="11">
        <f>IF(B68="买入",H69+C68,IF(B68="卖出",MAX(0,H69-C68),""))</f>
        <v/>
      </c>
      <c r="I68">
        <f>IF(B68="",I69,IF(B68="买入",I69,IF(B68="卖出",IF(H68=0,0,I69+F68),I69)))</f>
        <v/>
      </c>
    </row>
    <row r="69">
      <c r="A69" s="9" t="n"/>
      <c r="B69" s="10" t="n"/>
      <c r="C69" s="10" t="n"/>
      <c r="D69" s="10" t="n"/>
      <c r="E69" s="10" t="n"/>
      <c r="F69" s="11">
        <f>IF(B69="卖出",IF(H70&lt;=0,"",(D69-G70)*C69-E69),"")</f>
        <v/>
      </c>
      <c r="G69" s="11">
        <f>IF(B69="买入",IF(H70&lt;=0,(C69*D69+E69)/C69,(G70*H70+C69*D69+E69)/(H70+C69)),IF(B69="卖出",IF(H70-C69&lt;=0,G70,(G70*H70-C69*D69+E69)/(H70-C69)),""))</f>
        <v/>
      </c>
      <c r="H69" s="11">
        <f>IF(B69="买入",H70+C69,IF(B69="卖出",MAX(0,H70-C69),""))</f>
        <v/>
      </c>
      <c r="I69">
        <f>IF(B69="",I70,IF(B69="买入",I70,IF(B69="卖出",IF(H69=0,0,I70+F69),I70)))</f>
        <v/>
      </c>
    </row>
    <row r="70">
      <c r="A70" s="9" t="n"/>
      <c r="B70" s="10" t="n"/>
      <c r="C70" s="10" t="n"/>
      <c r="D70" s="10" t="n"/>
      <c r="E70" s="10" t="n"/>
      <c r="F70" s="11">
        <f>IF(B70="卖出",IF(H71&lt;=0,"",(D70-G71)*C70-E70),"")</f>
        <v/>
      </c>
      <c r="G70" s="11">
        <f>IF(B70="买入",IF(H71&lt;=0,(C70*D70+E70)/C70,(G71*H71+C70*D70+E70)/(H71+C70)),IF(B70="卖出",IF(H71-C70&lt;=0,G71,(G71*H71-C70*D70+E70)/(H71-C70)),""))</f>
        <v/>
      </c>
      <c r="H70" s="11">
        <f>IF(B70="买入",H71+C70,IF(B70="卖出",MAX(0,H71-C70),""))</f>
        <v/>
      </c>
      <c r="I70">
        <f>IF(B70="",I71,IF(B70="买入",I71,IF(B70="卖出",IF(H70=0,0,I71+F70),I71)))</f>
        <v/>
      </c>
    </row>
    <row r="71">
      <c r="A71" s="9" t="n"/>
      <c r="B71" s="10" t="n"/>
      <c r="C71" s="10" t="n"/>
      <c r="D71" s="10" t="n"/>
      <c r="E71" s="10" t="n"/>
      <c r="F71" s="11">
        <f>IF(B71="卖出",IF(H72&lt;=0,"",(D71-G72)*C71-E71),"")</f>
        <v/>
      </c>
      <c r="G71" s="11">
        <f>IF(B71="买入",IF(H72&lt;=0,(C71*D71+E71)/C71,(G72*H72+C71*D71+E71)/(H72+C71)),IF(B71="卖出",IF(H72-C71&lt;=0,G72,(G72*H72-C71*D71+E71)/(H72-C71)),""))</f>
        <v/>
      </c>
      <c r="H71" s="11">
        <f>IF(B71="买入",H72+C71,IF(B71="卖出",MAX(0,H72-C71),""))</f>
        <v/>
      </c>
      <c r="I71">
        <f>IF(B71="",I72,IF(B71="买入",I72,IF(B71="卖出",IF(H71=0,0,I72+F71),I72)))</f>
        <v/>
      </c>
    </row>
    <row r="72">
      <c r="A72" s="9" t="n"/>
      <c r="B72" s="10" t="n"/>
      <c r="C72" s="10" t="n"/>
      <c r="D72" s="10" t="n"/>
      <c r="E72" s="10" t="n"/>
      <c r="F72" s="11">
        <f>IF(B72="卖出",IF(H73&lt;=0,"",(D72-G73)*C72-E72),"")</f>
        <v/>
      </c>
      <c r="G72" s="11">
        <f>IF(B72="买入",IF(H73&lt;=0,(C72*D72+E72)/C72,(G73*H73+C72*D72+E72)/(H73+C72)),IF(B72="卖出",IF(H73-C72&lt;=0,G73,(G73*H73-C72*D72+E72)/(H73-C72)),""))</f>
        <v/>
      </c>
      <c r="H72" s="11">
        <f>IF(B72="买入",H73+C72,IF(B72="卖出",MAX(0,H73-C72),""))</f>
        <v/>
      </c>
      <c r="I72">
        <f>IF(B72="",I73,IF(B72="买入",I73,IF(B72="卖出",IF(H72=0,0,I73+F72),I73)))</f>
        <v/>
      </c>
    </row>
    <row r="73">
      <c r="A73" s="9" t="n"/>
      <c r="B73" s="10" t="n"/>
      <c r="C73" s="10" t="n"/>
      <c r="D73" s="10" t="n"/>
      <c r="E73" s="10" t="n"/>
      <c r="F73" s="11">
        <f>IF(B73="卖出",IF(H74&lt;=0,"",(D73-G74)*C73-E73),"")</f>
        <v/>
      </c>
      <c r="G73" s="11">
        <f>IF(B73="买入",IF(H74&lt;=0,(C73*D73+E73)/C73,(G74*H74+C73*D73+E73)/(H74+C73)),IF(B73="卖出",IF(H74-C73&lt;=0,G74,(G74*H74-C73*D73+E73)/(H74-C73)),""))</f>
        <v/>
      </c>
      <c r="H73" s="11">
        <f>IF(B73="买入",H74+C73,IF(B73="卖出",MAX(0,H74-C73),""))</f>
        <v/>
      </c>
      <c r="I73">
        <f>IF(B73="",I74,IF(B73="买入",I74,IF(B73="卖出",IF(H73=0,0,I74+F73),I74)))</f>
        <v/>
      </c>
    </row>
    <row r="74">
      <c r="A74" s="9" t="n"/>
      <c r="B74" s="10" t="n"/>
      <c r="C74" s="10" t="n"/>
      <c r="D74" s="10" t="n"/>
      <c r="E74" s="10" t="n"/>
      <c r="F74" s="11">
        <f>IF(B74="卖出",IF(H75&lt;=0,"",(D74-G75)*C74-E74),"")</f>
        <v/>
      </c>
      <c r="G74" s="11">
        <f>IF(B74="买入",IF(H75&lt;=0,(C74*D74+E74)/C74,(G75*H75+C74*D74+E74)/(H75+C74)),IF(B74="卖出",IF(H75-C74&lt;=0,G75,(G75*H75-C74*D74+E74)/(H75-C74)),""))</f>
        <v/>
      </c>
      <c r="H74" s="11">
        <f>IF(B74="买入",H75+C74,IF(B74="卖出",MAX(0,H75-C74),""))</f>
        <v/>
      </c>
      <c r="I74">
        <f>IF(B74="",I75,IF(B74="买入",I75,IF(B74="卖出",IF(H74=0,0,I75+F74),I75)))</f>
        <v/>
      </c>
    </row>
    <row r="75">
      <c r="A75" s="9" t="n"/>
      <c r="B75" s="10" t="n"/>
      <c r="C75" s="10" t="n"/>
      <c r="D75" s="10" t="n"/>
      <c r="E75" s="10" t="n"/>
      <c r="F75" s="11">
        <f>IF(B75="卖出",IF(H76&lt;=0,"",(D75-G76)*C75-E75),"")</f>
        <v/>
      </c>
      <c r="G75" s="11">
        <f>IF(B75="买入",IF(H76&lt;=0,(C75*D75+E75)/C75,(G76*H76+C75*D75+E75)/(H76+C75)),IF(B75="卖出",IF(H76-C75&lt;=0,G76,(G76*H76-C75*D75+E75)/(H76-C75)),""))</f>
        <v/>
      </c>
      <c r="H75" s="11">
        <f>IF(B75="买入",H76+C75,IF(B75="卖出",MAX(0,H76-C75),""))</f>
        <v/>
      </c>
      <c r="I75">
        <f>IF(B75="",I76,IF(B75="买入",I76,IF(B75="卖出",IF(H75=0,0,I76+F75),I76)))</f>
        <v/>
      </c>
    </row>
    <row r="76">
      <c r="A76" s="9" t="n"/>
      <c r="B76" s="10" t="n"/>
      <c r="C76" s="10" t="n"/>
      <c r="D76" s="10" t="n"/>
      <c r="E76" s="10" t="n"/>
      <c r="F76" s="11">
        <f>IF(B76="卖出",IF(H77&lt;=0,"",(D76-G77)*C76-E76),"")</f>
        <v/>
      </c>
      <c r="G76" s="11">
        <f>IF(B76="买入",IF(H77&lt;=0,(C76*D76+E76)/C76,(G77*H77+C76*D76+E76)/(H77+C76)),IF(B76="卖出",IF(H77-C76&lt;=0,G77,(G77*H77-C76*D76+E76)/(H77-C76)),""))</f>
        <v/>
      </c>
      <c r="H76" s="11">
        <f>IF(B76="买入",H77+C76,IF(B76="卖出",MAX(0,H77-C76),""))</f>
        <v/>
      </c>
      <c r="I76">
        <f>IF(B76="",I77,IF(B76="买入",I77,IF(B76="卖出",IF(H76=0,0,I77+F76),I77)))</f>
        <v/>
      </c>
    </row>
    <row r="77">
      <c r="A77" s="9" t="n"/>
      <c r="B77" s="10" t="n"/>
      <c r="C77" s="10" t="n"/>
      <c r="D77" s="10" t="n"/>
      <c r="E77" s="10" t="n"/>
      <c r="F77" s="11">
        <f>IF(B77="卖出",IF(H78&lt;=0,"",(D77-G78)*C77-E77),"")</f>
        <v/>
      </c>
      <c r="G77" s="11">
        <f>IF(B77="买入",IF(H78&lt;=0,(C77*D77+E77)/C77,(G78*H78+C77*D77+E77)/(H78+C77)),IF(B77="卖出",IF(H78-C77&lt;=0,G78,(G78*H78-C77*D77+E77)/(H78-C77)),""))</f>
        <v/>
      </c>
      <c r="H77" s="11">
        <f>IF(B77="买入",H78+C77,IF(B77="卖出",MAX(0,H78-C77),""))</f>
        <v/>
      </c>
      <c r="I77">
        <f>IF(B77="",I78,IF(B77="买入",I78,IF(B77="卖出",IF(H77=0,0,I78+F77),I78)))</f>
        <v/>
      </c>
    </row>
    <row r="78">
      <c r="A78" s="9" t="n"/>
      <c r="B78" s="10" t="n"/>
      <c r="C78" s="10" t="n"/>
      <c r="D78" s="10" t="n"/>
      <c r="E78" s="10" t="n"/>
      <c r="F78" s="11">
        <f>IF(B78="卖出",IF(H79&lt;=0,"",(D78-G79)*C78-E78),"")</f>
        <v/>
      </c>
      <c r="G78" s="11">
        <f>IF(B78="买入",IF(H79&lt;=0,(C78*D78+E78)/C78,(G79*H79+C78*D78+E78)/(H79+C78)),IF(B78="卖出",IF(H79-C78&lt;=0,G79,(G79*H79-C78*D78+E78)/(H79-C78)),""))</f>
        <v/>
      </c>
      <c r="H78" s="11">
        <f>IF(B78="买入",H79+C78,IF(B78="卖出",MAX(0,H79-C78),""))</f>
        <v/>
      </c>
      <c r="I78">
        <f>IF(B78="",I79,IF(B78="买入",I79,IF(B78="卖出",IF(H78=0,0,I79+F78),I79)))</f>
        <v/>
      </c>
    </row>
    <row r="79">
      <c r="A79" s="9" t="n"/>
      <c r="B79" s="10" t="n"/>
      <c r="C79" s="10" t="n"/>
      <c r="D79" s="10" t="n"/>
      <c r="E79" s="10" t="n"/>
      <c r="F79" s="11">
        <f>IF(B79="卖出",IF(H80&lt;=0,"",(D79-G80)*C79-E79),"")</f>
        <v/>
      </c>
      <c r="G79" s="11">
        <f>IF(B79="买入",IF(H80&lt;=0,(C79*D79+E79)/C79,(G80*H80+C79*D79+E79)/(H80+C79)),IF(B79="卖出",IF(H80-C79&lt;=0,G80,(G80*H80-C79*D79+E79)/(H80-C79)),""))</f>
        <v/>
      </c>
      <c r="H79" s="11">
        <f>IF(B79="买入",H80+C79,IF(B79="卖出",MAX(0,H80-C79),""))</f>
        <v/>
      </c>
      <c r="I79">
        <f>IF(B79="",I80,IF(B79="买入",I80,IF(B79="卖出",IF(H79=0,0,I80+F79),I80)))</f>
        <v/>
      </c>
    </row>
    <row r="80">
      <c r="A80" s="9" t="n"/>
      <c r="B80" s="10" t="n"/>
      <c r="C80" s="10" t="n"/>
      <c r="D80" s="10" t="n"/>
      <c r="E80" s="10" t="n"/>
      <c r="F80" s="11">
        <f>IF(B80="卖出",IF(H81&lt;=0,"",(D80-G81)*C80-E80),"")</f>
        <v/>
      </c>
      <c r="G80" s="11">
        <f>IF(B80="买入",IF(H81&lt;=0,(C80*D80+E80)/C80,(G81*H81+C80*D80+E80)/(H81+C80)),IF(B80="卖出",IF(H81-C80&lt;=0,G81,(G81*H81-C80*D80+E80)/(H81-C80)),""))</f>
        <v/>
      </c>
      <c r="H80" s="11">
        <f>IF(B80="买入",H81+C80,IF(B80="卖出",MAX(0,H81-C80),""))</f>
        <v/>
      </c>
      <c r="I80">
        <f>IF(B80="",I81,IF(B80="买入",I81,IF(B80="卖出",IF(H80=0,0,I81+F80),I81)))</f>
        <v/>
      </c>
    </row>
    <row r="81">
      <c r="A81" s="9" t="n"/>
      <c r="B81" s="10" t="n"/>
      <c r="C81" s="10" t="n"/>
      <c r="D81" s="10" t="n"/>
      <c r="E81" s="10" t="n"/>
      <c r="F81" s="11">
        <f>IF(B81="卖出",IF(H82&lt;=0,"",(D81-G82)*C81-E81),"")</f>
        <v/>
      </c>
      <c r="G81" s="11">
        <f>IF(B81="买入",IF(H82&lt;=0,(C81*D81+E81)/C81,(G82*H82+C81*D81+E81)/(H82+C81)),IF(B81="卖出",IF(H82-C81&lt;=0,G82,(G82*H82-C81*D81+E81)/(H82-C81)),""))</f>
        <v/>
      </c>
      <c r="H81" s="11">
        <f>IF(B81="买入",H82+C81,IF(B81="卖出",MAX(0,H82-C81),""))</f>
        <v/>
      </c>
      <c r="I81">
        <f>IF(B81="",I82,IF(B81="买入",I82,IF(B81="卖出",IF(H81=0,0,I82+F81),I82)))</f>
        <v/>
      </c>
    </row>
    <row r="82">
      <c r="A82" s="9" t="n"/>
      <c r="B82" s="10" t="n"/>
      <c r="C82" s="10" t="n"/>
      <c r="D82" s="10" t="n"/>
      <c r="E82" s="10" t="n"/>
      <c r="F82" s="11">
        <f>IF(B82="卖出",IF(H83&lt;=0,"",(D82-G83)*C82-E82),"")</f>
        <v/>
      </c>
      <c r="G82" s="11">
        <f>IF(B82="买入",IF(H83&lt;=0,(C82*D82+E82)/C82,(G83*H83+C82*D82+E82)/(H83+C82)),IF(B82="卖出",IF(H83-C82&lt;=0,G83,(G83*H83-C82*D82+E82)/(H83-C82)),""))</f>
        <v/>
      </c>
      <c r="H82" s="11">
        <f>IF(B82="买入",H83+C82,IF(B82="卖出",MAX(0,H83-C82),""))</f>
        <v/>
      </c>
      <c r="I82">
        <f>IF(B82="",I83,IF(B82="买入",I83,IF(B82="卖出",IF(H82=0,0,I83+F82),I83)))</f>
        <v/>
      </c>
    </row>
    <row r="83">
      <c r="A83" s="9" t="n"/>
      <c r="B83" s="10" t="n"/>
      <c r="C83" s="10" t="n"/>
      <c r="D83" s="10" t="n"/>
      <c r="E83" s="10" t="n"/>
      <c r="F83" s="11">
        <f>IF(B83="卖出",IF(H84&lt;=0,"",(D83-G84)*C83-E83),"")</f>
        <v/>
      </c>
      <c r="G83" s="11">
        <f>IF(B83="买入",IF(H84&lt;=0,(C83*D83+E83)/C83,(G84*H84+C83*D83+E83)/(H84+C83)),IF(B83="卖出",IF(H84-C83&lt;=0,G84,(G84*H84-C83*D83+E83)/(H84-C83)),""))</f>
        <v/>
      </c>
      <c r="H83" s="11">
        <f>IF(B83="买入",H84+C83,IF(B83="卖出",MAX(0,H84-C83),""))</f>
        <v/>
      </c>
      <c r="I83">
        <f>IF(B83="",I84,IF(B83="买入",I84,IF(B83="卖出",IF(H83=0,0,I84+F83),I84)))</f>
        <v/>
      </c>
    </row>
    <row r="84">
      <c r="A84" s="9" t="n"/>
      <c r="B84" s="10" t="n"/>
      <c r="C84" s="10" t="n"/>
      <c r="D84" s="10" t="n"/>
      <c r="E84" s="10" t="n"/>
      <c r="F84" s="11">
        <f>IF(B84="卖出",IF(H85&lt;=0,"",(D84-G85)*C84-E84),"")</f>
        <v/>
      </c>
      <c r="G84" s="11">
        <f>IF(B84="买入",IF(H85&lt;=0,(C84*D84+E84)/C84,(G85*H85+C84*D84+E84)/(H85+C84)),IF(B84="卖出",IF(H85-C84&lt;=0,G85,(G85*H85-C84*D84+E84)/(H85-C84)),""))</f>
        <v/>
      </c>
      <c r="H84" s="11">
        <f>IF(B84="买入",H85+C84,IF(B84="卖出",MAX(0,H85-C84),""))</f>
        <v/>
      </c>
      <c r="I84">
        <f>IF(B84="",I85,IF(B84="买入",I85,IF(B84="卖出",IF(H84=0,0,I85+F84),I85)))</f>
        <v/>
      </c>
    </row>
    <row r="85">
      <c r="A85" s="9" t="n"/>
      <c r="B85" s="10" t="n"/>
      <c r="C85" s="10" t="n"/>
      <c r="D85" s="10" t="n"/>
      <c r="E85" s="10" t="n"/>
      <c r="F85" s="11">
        <f>IF(B85="卖出",IF(H86&lt;=0,"",(D85-G86)*C85-E85),"")</f>
        <v/>
      </c>
      <c r="G85" s="11">
        <f>IF(B85="买入",IF(H86&lt;=0,(C85*D85+E85)/C85,(G86*H86+C85*D85+E85)/(H86+C85)),IF(B85="卖出",IF(H86-C85&lt;=0,G86,(G86*H86-C85*D85+E85)/(H86-C85)),""))</f>
        <v/>
      </c>
      <c r="H85" s="11">
        <f>IF(B85="买入",H86+C85,IF(B85="卖出",MAX(0,H86-C85),""))</f>
        <v/>
      </c>
      <c r="I85">
        <f>IF(B85="",I86,IF(B85="买入",I86,IF(B85="卖出",IF(H85=0,0,I86+F85),I86)))</f>
        <v/>
      </c>
    </row>
    <row r="86">
      <c r="A86" s="9" t="n"/>
      <c r="B86" s="10" t="n"/>
      <c r="C86" s="10" t="n"/>
      <c r="D86" s="10" t="n"/>
      <c r="E86" s="10" t="n"/>
      <c r="F86" s="11">
        <f>IF(B86="卖出",IF(H87&lt;=0,"",(D86-G87)*C86-E86),"")</f>
        <v/>
      </c>
      <c r="G86" s="11">
        <f>IF(B86="买入",IF(H87&lt;=0,(C86*D86+E86)/C86,(G87*H87+C86*D86+E86)/(H87+C86)),IF(B86="卖出",IF(H87-C86&lt;=0,G87,(G87*H87-C86*D86+E86)/(H87-C86)),""))</f>
        <v/>
      </c>
      <c r="H86" s="11">
        <f>IF(B86="买入",H87+C86,IF(B86="卖出",MAX(0,H87-C86),""))</f>
        <v/>
      </c>
      <c r="I86">
        <f>IF(B86="",I87,IF(B86="买入",I87,IF(B86="卖出",IF(H86=0,0,I87+F86),I87)))</f>
        <v/>
      </c>
    </row>
    <row r="87">
      <c r="A87" s="9" t="n"/>
      <c r="B87" s="10" t="n"/>
      <c r="C87" s="10" t="n"/>
      <c r="D87" s="10" t="n"/>
      <c r="E87" s="10" t="n"/>
      <c r="F87" s="11">
        <f>IF(B87="卖出",IF(H88&lt;=0,"",(D87-G88)*C87-E87),"")</f>
        <v/>
      </c>
      <c r="G87" s="11">
        <f>IF(B87="买入",IF(H88&lt;=0,(C87*D87+E87)/C87,(G88*H88+C87*D87+E87)/(H88+C87)),IF(B87="卖出",IF(H88-C87&lt;=0,G88,(G88*H88-C87*D87+E87)/(H88-C87)),""))</f>
        <v/>
      </c>
      <c r="H87" s="11">
        <f>IF(B87="买入",H88+C87,IF(B87="卖出",MAX(0,H88-C87),""))</f>
        <v/>
      </c>
      <c r="I87">
        <f>IF(B87="",I88,IF(B87="买入",I88,IF(B87="卖出",IF(H87=0,0,I88+F87),I88)))</f>
        <v/>
      </c>
    </row>
    <row r="88">
      <c r="A88" s="9" t="n"/>
      <c r="B88" s="10" t="n"/>
      <c r="C88" s="10" t="n"/>
      <c r="D88" s="10" t="n"/>
      <c r="E88" s="10" t="n"/>
      <c r="F88" s="11">
        <f>IF(B88="卖出",IF(H89&lt;=0,"",(D88-G89)*C88-E88),"")</f>
        <v/>
      </c>
      <c r="G88" s="11">
        <f>IF(B88="买入",IF(H89&lt;=0,(C88*D88+E88)/C88,(G89*H89+C88*D88+E88)/(H89+C88)),IF(B88="卖出",IF(H89-C88&lt;=0,G89,(G89*H89-C88*D88+E88)/(H89-C88)),""))</f>
        <v/>
      </c>
      <c r="H88" s="11">
        <f>IF(B88="买入",H89+C88,IF(B88="卖出",MAX(0,H89-C88),""))</f>
        <v/>
      </c>
      <c r="I88">
        <f>IF(B88="",I89,IF(B88="买入",I89,IF(B88="卖出",IF(H88=0,0,I89+F88),I89)))</f>
        <v/>
      </c>
    </row>
    <row r="89">
      <c r="A89" s="9" t="n"/>
      <c r="B89" s="10" t="n"/>
      <c r="C89" s="10" t="n"/>
      <c r="D89" s="10" t="n"/>
      <c r="E89" s="10" t="n"/>
      <c r="F89" s="11">
        <f>IF(B89="卖出",IF(H90&lt;=0,"",(D89-G90)*C89-E89),"")</f>
        <v/>
      </c>
      <c r="G89" s="11">
        <f>IF(B89="买入",IF(H90&lt;=0,(C89*D89+E89)/C89,(G90*H90+C89*D89+E89)/(H90+C89)),IF(B89="卖出",IF(H90-C89&lt;=0,G90,(G90*H90-C89*D89+E89)/(H90-C89)),""))</f>
        <v/>
      </c>
      <c r="H89" s="11">
        <f>IF(B89="买入",H90+C89,IF(B89="卖出",MAX(0,H90-C89),""))</f>
        <v/>
      </c>
      <c r="I89">
        <f>IF(B89="",I90,IF(B89="买入",I90,IF(B89="卖出",IF(H89=0,0,I90+F89),I90)))</f>
        <v/>
      </c>
    </row>
    <row r="90">
      <c r="A90" s="9" t="n"/>
      <c r="B90" s="10" t="n"/>
      <c r="C90" s="10" t="n"/>
      <c r="D90" s="10" t="n"/>
      <c r="E90" s="10" t="n"/>
      <c r="F90" s="11">
        <f>IF(B90="卖出",IF(H91&lt;=0,"",(D90-G91)*C90-E90),"")</f>
        <v/>
      </c>
      <c r="G90" s="11">
        <f>IF(B90="买入",IF(H91&lt;=0,(C90*D90+E90)/C90,(G91*H91+C90*D90+E90)/(H91+C90)),IF(B90="卖出",IF(H91-C90&lt;=0,G91,(G91*H91-C90*D90+E90)/(H91-C90)),""))</f>
        <v/>
      </c>
      <c r="H90" s="11">
        <f>IF(B90="买入",H91+C90,IF(B90="卖出",MAX(0,H91-C90),""))</f>
        <v/>
      </c>
      <c r="I90">
        <f>IF(B90="",I91,IF(B90="买入",I91,IF(B90="卖出",IF(H90=0,0,I91+F90),I91)))</f>
        <v/>
      </c>
    </row>
    <row r="91">
      <c r="A91" s="9" t="n"/>
      <c r="B91" s="10" t="n"/>
      <c r="C91" s="10" t="n"/>
      <c r="D91" s="10" t="n"/>
      <c r="E91" s="10" t="n"/>
      <c r="F91" s="11">
        <f>IF(B91="卖出",IF(H92&lt;=0,"",(D91-G92)*C91-E91),"")</f>
        <v/>
      </c>
      <c r="G91" s="11">
        <f>IF(B91="买入",IF(H92&lt;=0,(C91*D91+E91)/C91,(G92*H92+C91*D91+E91)/(H92+C91)),IF(B91="卖出",IF(H92-C91&lt;=0,G92,(G92*H92-C91*D91+E91)/(H92-C91)),""))</f>
        <v/>
      </c>
      <c r="H91" s="11">
        <f>IF(B91="买入",H92+C91,IF(B91="卖出",MAX(0,H92-C91),""))</f>
        <v/>
      </c>
      <c r="I91">
        <f>IF(B91="",I92,IF(B91="买入",I92,IF(B91="卖出",IF(H91=0,0,I92+F91),I92)))</f>
        <v/>
      </c>
    </row>
    <row r="92">
      <c r="A92" s="9" t="n"/>
      <c r="B92" s="10" t="n"/>
      <c r="C92" s="10" t="n"/>
      <c r="D92" s="10" t="n"/>
      <c r="E92" s="10" t="n"/>
      <c r="F92" s="11">
        <f>IF(B92="卖出",IF(H93&lt;=0,"",(D92-G93)*C92-E92),"")</f>
        <v/>
      </c>
      <c r="G92" s="11">
        <f>IF(B92="买入",IF(H93&lt;=0,(C92*D92+E92)/C92,(G93*H93+C92*D92+E92)/(H93+C92)),IF(B92="卖出",IF(H93-C92&lt;=0,G93,(G93*H93-C92*D92+E92)/(H93-C92)),""))</f>
        <v/>
      </c>
      <c r="H92" s="11">
        <f>IF(B92="买入",H93+C92,IF(B92="卖出",MAX(0,H93-C92),""))</f>
        <v/>
      </c>
      <c r="I92">
        <f>IF(B92="",I93,IF(B92="买入",I93,IF(B92="卖出",IF(H92=0,0,I93+F92),I93)))</f>
        <v/>
      </c>
    </row>
    <row r="93">
      <c r="A93" s="9" t="n"/>
      <c r="B93" s="10" t="n"/>
      <c r="C93" s="10" t="n"/>
      <c r="D93" s="10" t="n"/>
      <c r="E93" s="10" t="n"/>
      <c r="F93" s="11">
        <f>IF(B93="卖出",IF(H94&lt;=0,"",(D93-G94)*C93-E93),"")</f>
        <v/>
      </c>
      <c r="G93" s="11">
        <f>IF(B93="买入",IF(H94&lt;=0,(C93*D93+E93)/C93,(G94*H94+C93*D93+E93)/(H94+C93)),IF(B93="卖出",IF(H94-C93&lt;=0,G94,(G94*H94-C93*D93+E93)/(H94-C93)),""))</f>
        <v/>
      </c>
      <c r="H93" s="11">
        <f>IF(B93="买入",H94+C93,IF(B93="卖出",MAX(0,H94-C93),""))</f>
        <v/>
      </c>
      <c r="I93">
        <f>IF(B93="",I94,IF(B93="买入",I94,IF(B93="卖出",IF(H93=0,0,I94+F93),I94)))</f>
        <v/>
      </c>
    </row>
    <row r="94">
      <c r="A94" s="9" t="n"/>
      <c r="B94" s="10" t="n"/>
      <c r="C94" s="10" t="n"/>
      <c r="D94" s="10" t="n"/>
      <c r="E94" s="10" t="n"/>
      <c r="F94" s="11">
        <f>IF(B94="卖出",IF(H95&lt;=0,"",(D94-G95)*C94-E94),"")</f>
        <v/>
      </c>
      <c r="G94" s="11">
        <f>IF(B94="买入",IF(H95&lt;=0,(C94*D94+E94)/C94,(G95*H95+C94*D94+E94)/(H95+C94)),IF(B94="卖出",IF(H95-C94&lt;=0,G95,(G95*H95-C94*D94+E94)/(H95-C94)),""))</f>
        <v/>
      </c>
      <c r="H94" s="11">
        <f>IF(B94="买入",H95+C94,IF(B94="卖出",MAX(0,H95-C94),""))</f>
        <v/>
      </c>
      <c r="I94">
        <f>IF(B94="",I95,IF(B94="买入",I95,IF(B94="卖出",IF(H94=0,0,I95+F94),I95)))</f>
        <v/>
      </c>
    </row>
    <row r="95">
      <c r="A95" s="9" t="n"/>
      <c r="B95" s="10" t="n"/>
      <c r="C95" s="10" t="n"/>
      <c r="D95" s="10" t="n"/>
      <c r="E95" s="10" t="n"/>
      <c r="F95" s="11">
        <f>IF(B95="卖出",IF(H96&lt;=0,"",(D95-G96)*C95-E95),"")</f>
        <v/>
      </c>
      <c r="G95" s="11">
        <f>IF(B95="买入",IF(H96&lt;=0,(C95*D95+E95)/C95,(G96*H96+C95*D95+E95)/(H96+C95)),IF(B95="卖出",IF(H96-C95&lt;=0,G96,(G96*H96-C95*D95+E95)/(H96-C95)),""))</f>
        <v/>
      </c>
      <c r="H95" s="11">
        <f>IF(B95="买入",H96+C95,IF(B95="卖出",MAX(0,H96-C95),""))</f>
        <v/>
      </c>
      <c r="I95">
        <f>IF(B95="",I96,IF(B95="买入",I96,IF(B95="卖出",IF(H95=0,0,I96+F95),I96)))</f>
        <v/>
      </c>
    </row>
    <row r="96">
      <c r="A96" s="9" t="n"/>
      <c r="B96" s="10" t="n"/>
      <c r="C96" s="10" t="n"/>
      <c r="D96" s="10" t="n"/>
      <c r="E96" s="10" t="n"/>
      <c r="F96" s="11">
        <f>IF(B96="卖出",IF(H97&lt;=0,"",(D96-G97)*C96-E96),"")</f>
        <v/>
      </c>
      <c r="G96" s="11">
        <f>IF(B96="买入",IF(H97&lt;=0,(C96*D96+E96)/C96,(G97*H97+C96*D96+E96)/(H97+C96)),IF(B96="卖出",IF(H97-C96&lt;=0,G97,(G97*H97-C96*D96+E96)/(H97-C96)),""))</f>
        <v/>
      </c>
      <c r="H96" s="11">
        <f>IF(B96="买入",H97+C96,IF(B96="卖出",MAX(0,H97-C96),""))</f>
        <v/>
      </c>
      <c r="I96">
        <f>IF(B96="",I97,IF(B96="买入",I97,IF(B96="卖出",IF(H96=0,0,I97+F96),I97)))</f>
        <v/>
      </c>
    </row>
    <row r="97">
      <c r="A97" s="9" t="n"/>
      <c r="B97" s="10" t="n"/>
      <c r="C97" s="10" t="n"/>
      <c r="D97" s="10" t="n"/>
      <c r="E97" s="10" t="n"/>
      <c r="F97" s="11">
        <f>IF(B97="卖出",IF(H98&lt;=0,"",(D97-G98)*C97-E97),"")</f>
        <v/>
      </c>
      <c r="G97" s="11">
        <f>IF(B97="买入",IF(H98&lt;=0,(C97*D97+E97)/C97,(G98*H98+C97*D97+E97)/(H98+C97)),IF(B97="卖出",IF(H98-C97&lt;=0,G98,(G98*H98-C97*D97+E97)/(H98-C97)),""))</f>
        <v/>
      </c>
      <c r="H97" s="11">
        <f>IF(B97="买入",H98+C97,IF(B97="卖出",MAX(0,H98-C97),""))</f>
        <v/>
      </c>
      <c r="I97">
        <f>IF(B97="",I98,IF(B97="买入",I98,IF(B97="卖出",IF(H97=0,0,I98+F97),I98)))</f>
        <v/>
      </c>
    </row>
    <row r="98">
      <c r="A98" s="9" t="n"/>
      <c r="B98" s="10" t="n"/>
      <c r="C98" s="10" t="n"/>
      <c r="D98" s="10" t="n"/>
      <c r="E98" s="10" t="n"/>
      <c r="F98" s="11">
        <f>IF(B98="卖出",IF(H99&lt;=0,"",(D98-G99)*C98-E98),"")</f>
        <v/>
      </c>
      <c r="G98" s="11">
        <f>IF(B98="买入",IF(H99&lt;=0,(C98*D98+E98)/C98,(G99*H99+C98*D98+E98)/(H99+C98)),IF(B98="卖出",IF(H99-C98&lt;=0,G99,(G99*H99-C98*D98+E98)/(H99-C98)),""))</f>
        <v/>
      </c>
      <c r="H98" s="11">
        <f>IF(B98="买入",H99+C98,IF(B98="卖出",MAX(0,H99-C98),""))</f>
        <v/>
      </c>
      <c r="I98">
        <f>IF(B98="",I99,IF(B98="买入",I99,IF(B98="卖出",IF(H98=0,0,I99+F98),I99)))</f>
        <v/>
      </c>
    </row>
    <row r="99">
      <c r="A99" s="9" t="n"/>
      <c r="B99" s="10" t="n"/>
      <c r="C99" s="10" t="n"/>
      <c r="D99" s="10" t="n"/>
      <c r="E99" s="10" t="n"/>
      <c r="F99" s="11">
        <f>IF(B99="卖出",IF(H100&lt;=0,"",(D99-G100)*C99-E99),"")</f>
        <v/>
      </c>
      <c r="G99" s="11">
        <f>IF(B99="买入",IF(H100&lt;=0,(C99*D99+E99)/C99,(G100*H100+C99*D99+E99)/(H100+C99)),IF(B99="卖出",IF(H100-C99&lt;=0,G100,(G100*H100-C99*D99+E99)/(H100-C99)),""))</f>
        <v/>
      </c>
      <c r="H99" s="11">
        <f>IF(B99="买入",H100+C99,IF(B99="卖出",MAX(0,H100-C99),""))</f>
        <v/>
      </c>
      <c r="I99">
        <f>IF(B99="",I100,IF(B99="买入",I100,IF(B99="卖出",IF(H99=0,0,I100+F99),I100)))</f>
        <v/>
      </c>
    </row>
    <row r="100">
      <c r="A100" s="9" t="n"/>
      <c r="B100" s="10" t="n"/>
      <c r="C100" s="10" t="n"/>
      <c r="D100" s="10" t="n"/>
      <c r="E100" s="10" t="n"/>
      <c r="F100" s="11">
        <f>IF(B100="卖出",IF(H101&lt;=0,"",(D100-G101)*C100-E100),"")</f>
        <v/>
      </c>
      <c r="G100" s="11">
        <f>IF(B100="买入",IF(H101&lt;=0,(C100*D100+E100)/C100,(G101*H101+C100*D100+E100)/(H101+C100)),IF(B100="卖出",IF(H101-C100&lt;=0,G101,(G101*H101-C100*D100+E100)/(H101-C100)),""))</f>
        <v/>
      </c>
      <c r="H100" s="11">
        <f>IF(B100="买入",H101+C100,IF(B100="卖出",MAX(0,H101-C100),""))</f>
        <v/>
      </c>
      <c r="I100">
        <f>IF(B100="",I101,IF(B100="买入",I101,IF(B100="卖出",IF(H100=0,0,I101+F100),I101)))</f>
        <v/>
      </c>
    </row>
    <row r="101">
      <c r="A101" s="9" t="n"/>
      <c r="B101" s="10" t="n"/>
      <c r="C101" s="10" t="n"/>
      <c r="D101" s="10" t="n"/>
      <c r="E101" s="10" t="n"/>
      <c r="F101" s="11">
        <f>IF(B101="卖出",IF(H102&lt;=0,"",(D101-G102)*C101-E101),"")</f>
        <v/>
      </c>
      <c r="G101" s="11">
        <f>IF(B101="买入",IF(H102&lt;=0,(C101*D101+E101)/C101,(G102*H102+C101*D101+E101)/(H102+C101)),IF(B101="卖出",IF(H102-C101&lt;=0,G102,(G102*H102-C101*D101+E101)/(H102-C101)),""))</f>
        <v/>
      </c>
      <c r="H101" s="11">
        <f>IF(B101="买入",H102+C101,IF(B101="卖出",MAX(0,H102-C101),""))</f>
        <v/>
      </c>
      <c r="I101">
        <f>IF(B101="",I102,IF(B101="买入",I102,IF(B101="卖出",IF(H101=0,0,I102+F101),I102)))</f>
        <v/>
      </c>
    </row>
    <row r="102">
      <c r="A102" s="9" t="n"/>
      <c r="B102" s="10" t="n"/>
      <c r="C102" s="10" t="n"/>
      <c r="D102" s="10" t="n"/>
      <c r="E102" s="10" t="n"/>
      <c r="F102" s="11">
        <f>IF(B102="卖出",IF(H103&lt;=0,"",(D102-G103)*C102-E102),"")</f>
        <v/>
      </c>
      <c r="G102" s="11">
        <f>IF(B102="买入",IF(H103&lt;=0,(C102*D102+E102)/C102,(G103*H103+C102*D102+E102)/(H103+C102)),IF(B102="卖出",IF(H103-C102&lt;=0,G103,(G103*H103-C102*D102+E102)/(H103-C102)),""))</f>
        <v/>
      </c>
      <c r="H102" s="11">
        <f>IF(B102="买入",H103+C102,IF(B102="卖出",MAX(0,H103-C102),""))</f>
        <v/>
      </c>
      <c r="I102">
        <f>IF(B102="",I103,IF(B102="买入",I103,IF(B102="卖出",IF(H102=0,0,I103+F102),I103)))</f>
        <v/>
      </c>
    </row>
    <row r="103">
      <c r="A103" s="9" t="n"/>
      <c r="B103" s="10" t="n"/>
      <c r="C103" s="10" t="n"/>
      <c r="D103" s="10" t="n"/>
      <c r="E103" s="10" t="n"/>
      <c r="F103" s="11">
        <f>IF(B103="卖出",IF(H104&lt;=0,"",(D103-G104)*C103-E103),"")</f>
        <v/>
      </c>
      <c r="G103" s="11">
        <f>IF(B103="买入",IF(H104&lt;=0,(C103*D103+E103)/C103,(G104*H104+C103*D103+E103)/(H104+C103)),IF(B103="卖出",IF(H104-C103&lt;=0,G104,(G104*H104-C103*D103+E103)/(H104-C103)),""))</f>
        <v/>
      </c>
      <c r="H103" s="11">
        <f>IF(B103="买入",H104+C103,IF(B103="卖出",MAX(0,H104-C103),""))</f>
        <v/>
      </c>
      <c r="I103">
        <f>IF(B103="",I104,IF(B103="买入",I104,IF(B103="卖出",IF(H103=0,0,I104+F103),I104)))</f>
        <v/>
      </c>
    </row>
    <row r="104">
      <c r="A104" s="9" t="n"/>
      <c r="B104" s="10" t="n"/>
      <c r="C104" s="10" t="n"/>
      <c r="D104" s="10" t="n"/>
      <c r="E104" s="10" t="n"/>
      <c r="F104" s="11">
        <f>IF(B104="卖出",IF(H105&lt;=0,"",(D104-G105)*C104-E104),"")</f>
        <v/>
      </c>
      <c r="G104" s="11">
        <f>IF(B104="买入",IF(H105&lt;=0,(C104*D104+E104)/C104,(G105*H105+C104*D104+E104)/(H105+C104)),IF(B104="卖出",IF(H105-C104&lt;=0,G105,(G105*H105-C104*D104+E104)/(H105-C104)),""))</f>
        <v/>
      </c>
      <c r="H104" s="11">
        <f>IF(B104="买入",H105+C104,IF(B104="卖出",MAX(0,H105-C104),""))</f>
        <v/>
      </c>
      <c r="I104">
        <f>IF(B104="",0,IF(B104="买入",0,IF(B104="卖出",IF(H104=0,0,F104),0)))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1D"/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A10:H104">
    <cfRule type="expression" priority="1" dxfId="0">
      <formula>COUNTA($A10:$E10)&gt;0</formula>
    </cfRule>
  </conditionalFormatting>
  <conditionalFormatting sqref="B10:B104">
    <cfRule type="expression" priority="2" dxfId="1">
      <formula>B10="买入"</formula>
    </cfRule>
    <cfRule type="expression" priority="3" dxfId="2">
      <formula>B10="卖出"</formula>
    </cfRule>
  </conditionalFormatting>
  <dataValidations count="1">
    <dataValidation sqref="B10:B104" showDropDown="0" showInputMessage="0" showErrorMessage="0" allowBlank="1" errorTitle="无效的操作" error="请选择&quot;买入&quot;或&quot;卖出&quot;" promptTitle="操作类型" prompt="请从下拉列表中选择" type="list">
      <formula1>"买入,卖出"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2026-06-10T15:29:06Z</dcterms:created>
  <dcterms:modified xsi:type="dcterms:W3CDTF">2026-06-10T15:29:07Z</dcterms:modified>
</cp:coreProperties>
</file>